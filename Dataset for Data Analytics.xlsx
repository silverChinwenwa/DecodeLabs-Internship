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ILVER MEDIA LAB\ML &amp; Data studies\Decode Labs\"/>
    </mc:Choice>
  </mc:AlternateContent>
  <xr:revisionPtr revIDLastSave="0" documentId="13_ncr:1_{811045D6-F045-49D7-82C6-D3BF40C0AC9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5" i="1" l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2" i="1"/>
</calcChain>
</file>

<file path=xl/sharedStrings.xml><?xml version="1.0" encoding="utf-8"?>
<sst xmlns="http://schemas.openxmlformats.org/spreadsheetml/2006/main" count="21320" uniqueCount="4285">
  <si>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</si>
  <si>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</si>
  <si>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</si>
  <si>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</si>
  <si>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</si>
  <si>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</si>
  <si>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</si>
  <si>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</si>
  <si>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</si>
  <si>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</si>
  <si>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</si>
  <si>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</si>
  <si>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</si>
  <si>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</si>
  <si>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</si>
  <si>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</si>
  <si>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</si>
  <si>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</si>
  <si>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</si>
  <si>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</si>
  <si>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</si>
  <si>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</si>
  <si>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</si>
  <si>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</si>
  <si>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</si>
  <si>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</si>
  <si>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</si>
  <si>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</si>
  <si>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</si>
  <si>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</si>
  <si>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</si>
  <si>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</si>
  <si>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</si>
  <si>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</si>
  <si>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</si>
  <si>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</si>
  <si>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</si>
  <si>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</si>
  <si>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</si>
  <si>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</si>
  <si>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</si>
  <si>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</si>
  <si>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</si>
  <si>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</si>
  <si>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</si>
  <si>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</si>
  <si>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</si>
  <si>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</si>
  <si>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</si>
  <si>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</si>
  <si>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</si>
  <si>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</si>
  <si>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</si>
  <si>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</si>
  <si>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</si>
  <si>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</si>
  <si>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</si>
  <si>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</si>
  <si>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</si>
  <si>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</si>
  <si>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</si>
  <si>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</si>
  <si>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</si>
  <si>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</si>
  <si>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</si>
  <si>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</si>
  <si>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</si>
  <si>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</si>
  <si>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</si>
  <si>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</si>
  <si>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</si>
  <si>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</si>
  <si>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</si>
  <si>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</si>
  <si>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</si>
  <si>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</si>
  <si>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</si>
  <si>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</si>
  <si>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</si>
  <si>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</si>
  <si>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</si>
  <si>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</si>
  <si>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</si>
  <si>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</si>
  <si>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</si>
  <si>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</si>
  <si>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</si>
  <si>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</si>
  <si>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</si>
  <si>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</si>
  <si>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</si>
  <si>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</si>
  <si>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</si>
  <si>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</si>
  <si>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</si>
  <si>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</si>
  <si>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</si>
  <si>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</si>
  <si>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</si>
  <si>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</si>
  <si>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</si>
  <si>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</si>
  <si>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</si>
  <si>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</si>
  <si>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</si>
  <si>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</si>
  <si>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</si>
  <si>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</si>
  <si>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</si>
  <si>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</si>
  <si>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</si>
  <si>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</si>
  <si>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</si>
  <si>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</si>
  <si>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</si>
  <si>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</si>
  <si>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</si>
  <si>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</si>
  <si>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</si>
  <si>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</si>
  <si>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</si>
  <si>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</si>
  <si>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</si>
  <si>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</si>
  <si>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</si>
  <si>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</si>
  <si>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</si>
  <si>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</si>
  <si>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</si>
  <si>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</si>
  <si>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</si>
  <si>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</si>
  <si>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</si>
  <si>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</si>
  <si>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</si>
  <si>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</si>
  <si>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</si>
  <si>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</si>
  <si>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</si>
  <si>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</si>
  <si>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</si>
  <si>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</si>
  <si>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</si>
  <si>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</si>
  <si>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</si>
  <si>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</si>
  <si>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</si>
  <si>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</si>
  <si>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</si>
  <si>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</si>
  <si>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</si>
  <si>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</si>
  <si>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</si>
  <si>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</si>
  <si>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</si>
  <si>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</si>
  <si>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</si>
  <si>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</si>
  <si>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</si>
  <si>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</si>
  <si>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</si>
  <si>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</si>
  <si>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</si>
  <si>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</si>
  <si>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</si>
  <si>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</si>
  <si>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</si>
  <si>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</si>
  <si>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</si>
  <si>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</si>
  <si>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</si>
  <si>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</si>
  <si>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</si>
  <si>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</si>
  <si>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</si>
  <si>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</si>
  <si>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</si>
  <si>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</si>
  <si>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</si>
  <si>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</si>
  <si>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</si>
  <si>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</si>
  <si>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</si>
  <si>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</si>
  <si>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</si>
  <si>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</si>
  <si>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</si>
  <si>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</si>
  <si>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</si>
  <si>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</si>
  <si>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</si>
  <si>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</si>
  <si>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</si>
  <si>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</si>
  <si>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</si>
  <si>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</si>
  <si>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</si>
  <si>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</si>
  <si>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</si>
  <si>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</si>
  <si>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</si>
  <si>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</si>
  <si>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</si>
  <si>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</si>
  <si>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</si>
  <si>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</si>
  <si>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</si>
  <si>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</si>
  <si>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</si>
  <si>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</si>
  <si>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</si>
  <si>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</si>
  <si>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</si>
  <si>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</si>
  <si>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</si>
  <si>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</si>
  <si>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</si>
  <si>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</si>
  <si>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</si>
  <si>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</si>
  <si>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</si>
  <si>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</si>
  <si>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</si>
  <si>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</si>
  <si>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</si>
  <si>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</si>
  <si>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</si>
  <si>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</si>
  <si>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</si>
  <si>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</si>
  <si>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</si>
  <si>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</si>
  <si>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</si>
  <si>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</si>
  <si>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</si>
  <si>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</si>
  <si>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</si>
  <si>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</si>
  <si>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</si>
  <si>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</si>
  <si>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</si>
  <si>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</si>
  <si>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</si>
  <si>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</si>
  <si>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</si>
  <si>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</si>
  <si>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</si>
  <si>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</si>
  <si>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</si>
  <si>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</si>
  <si>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</si>
  <si>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</si>
  <si>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</si>
  <si>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</si>
  <si>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</si>
  <si>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</si>
  <si>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</si>
  <si>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</si>
  <si>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</si>
  <si>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</si>
  <si>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</si>
  <si>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</si>
  <si>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</si>
  <si>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</si>
  <si>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</si>
  <si>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</si>
  <si>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</si>
  <si>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</si>
  <si>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</si>
  <si>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</si>
  <si>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</si>
  <si>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</si>
  <si>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</si>
  <si>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</si>
  <si>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</si>
  <si>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</si>
  <si>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</si>
  <si>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</si>
  <si>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</si>
  <si>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</si>
  <si>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</si>
  <si>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</si>
  <si>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</si>
  <si>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</si>
  <si>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</si>
  <si>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</si>
  <si>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</si>
  <si>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</si>
  <si>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</si>
  <si>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</si>
  <si>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</si>
  <si>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</si>
  <si>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</si>
  <si>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</si>
  <si>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</si>
  <si>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</si>
  <si>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</si>
  <si>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</si>
  <si>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</si>
  <si>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</si>
  <si>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</si>
  <si>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</si>
  <si>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</si>
  <si>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</si>
  <si>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</si>
  <si>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</si>
  <si>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</si>
  <si>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</si>
  <si>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</si>
  <si>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</si>
  <si>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</si>
  <si>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</si>
  <si>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</si>
  <si>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</si>
  <si>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</si>
  <si>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</si>
  <si>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</si>
  <si>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</si>
  <si>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</si>
  <si>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</si>
  <si>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</si>
  <si>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</si>
  <si>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</si>
  <si>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</si>
  <si>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</si>
  <si>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</si>
  <si>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</si>
  <si>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</si>
  <si>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</si>
  <si>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</si>
  <si>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</si>
  <si>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</si>
  <si>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</si>
  <si>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</si>
  <si>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</si>
  <si>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</si>
  <si>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</si>
  <si>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</si>
  <si>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</si>
  <si>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</si>
  <si>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</si>
  <si>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</si>
  <si>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</si>
  <si>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</si>
  <si>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</si>
  <si>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</si>
  <si>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</si>
  <si>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</si>
  <si>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</si>
  <si>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</si>
  <si>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</si>
  <si>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</si>
  <si>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</si>
  <si>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</si>
  <si>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</si>
  <si>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</si>
  <si>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</si>
  <si>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</si>
  <si>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</si>
  <si>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</si>
  <si>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</si>
  <si>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</si>
  <si>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</si>
  <si>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</si>
  <si>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</si>
  <si>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</si>
  <si>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</si>
  <si>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</si>
  <si>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</si>
  <si>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</si>
  <si>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</si>
  <si>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</si>
  <si>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</si>
  <si>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</si>
  <si>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</si>
  <si>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</si>
  <si>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</si>
  <si>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</si>
  <si>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</si>
  <si>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</si>
  <si>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</si>
  <si>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</si>
  <si>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</si>
  <si>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</si>
  <si>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</si>
  <si>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</si>
  <si>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</si>
  <si>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</si>
  <si>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</si>
  <si>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</si>
  <si>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</si>
  <si>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</si>
  <si>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</si>
  <si>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</si>
  <si>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</si>
  <si>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</si>
  <si>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</si>
  <si>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</si>
  <si>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</si>
  <si>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</si>
  <si>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</si>
  <si>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</si>
  <si>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</si>
  <si>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</si>
  <si>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</si>
  <si>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</si>
  <si>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</si>
  <si>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</si>
  <si>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</si>
  <si>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</si>
  <si>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</si>
  <si>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</si>
  <si>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</si>
  <si>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</si>
  <si>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</si>
  <si>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</si>
  <si>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</si>
  <si>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</si>
  <si>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</si>
  <si>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</si>
  <si>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</si>
  <si>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</si>
  <si>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</si>
  <si>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</si>
  <si>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</si>
  <si>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</si>
  <si>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</si>
  <si>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</si>
  <si>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</si>
  <si>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</si>
  <si>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</si>
  <si>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</si>
  <si>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</si>
  <si>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</si>
  <si>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</si>
  <si>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</si>
  <si>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</si>
  <si>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</si>
  <si>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</si>
  <si>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</si>
  <si>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</si>
  <si>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</si>
  <si>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</si>
  <si>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</si>
  <si>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</si>
  <si>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</si>
  <si>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</si>
  <si>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</si>
  <si>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</si>
  <si>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</si>
  <si>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</si>
  <si>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</si>
  <si>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</si>
  <si>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</si>
  <si>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</si>
  <si>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</si>
  <si>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</si>
  <si>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</si>
  <si>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</si>
  <si>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</si>
  <si>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</si>
  <si>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</si>
  <si>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</si>
  <si>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</si>
  <si>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</si>
  <si>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</si>
  <si>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</si>
  <si>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</si>
  <si>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</si>
  <si>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</si>
  <si>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</si>
  <si>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</si>
  <si>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</si>
  <si>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</si>
  <si>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</si>
  <si>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</si>
  <si>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</si>
  <si>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</si>
  <si>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</si>
  <si>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</si>
  <si>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</si>
  <si>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</si>
  <si>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</si>
  <si>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</si>
  <si>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</si>
  <si>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</si>
  <si>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</si>
  <si>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</si>
  <si>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</si>
  <si>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</si>
  <si>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</si>
  <si>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</si>
  <si>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</si>
  <si>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</si>
  <si>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</si>
  <si>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</si>
  <si>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</si>
  <si>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</si>
  <si>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</si>
  <si>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</si>
  <si>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</si>
  <si>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</si>
  <si>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</si>
  <si>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</si>
  <si>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</si>
  <si>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</si>
  <si>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</si>
  <si>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</si>
  <si>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</si>
  <si>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</si>
  <si>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</si>
  <si>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</si>
  <si>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</si>
  <si>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</si>
  <si>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</si>
  <si>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</si>
  <si>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</si>
  <si>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</si>
  <si>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</si>
  <si>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</si>
  <si>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</si>
  <si>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</si>
  <si>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</si>
  <si>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</si>
  <si>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</si>
  <si>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</si>
  <si>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</si>
  <si>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</si>
  <si>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</si>
  <si>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</si>
  <si>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</si>
  <si>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</si>
  <si>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</si>
  <si>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</si>
  <si>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</si>
  <si>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</si>
  <si>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</si>
  <si>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</si>
  <si>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</si>
  <si>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</si>
  <si>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</si>
  <si>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</si>
  <si>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</si>
  <si>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</si>
  <si>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</si>
  <si>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</si>
  <si>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</si>
  <si>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</si>
  <si>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</si>
  <si>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</si>
  <si>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</si>
  <si>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</si>
  <si>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</si>
  <si>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</si>
  <si>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</si>
  <si>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</si>
  <si>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</si>
  <si>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</si>
  <si>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</si>
  <si>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</si>
  <si>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</si>
  <si>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</si>
  <si>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</si>
  <si>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</si>
  <si>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</si>
  <si>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</si>
  <si>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</si>
  <si>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</si>
  <si>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</si>
  <si>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</si>
  <si>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</si>
  <si>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</si>
  <si>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</si>
  <si>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</si>
  <si>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</si>
  <si>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</si>
  <si>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</si>
  <si>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</si>
  <si>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</si>
  <si>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</si>
  <si>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</si>
  <si>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</si>
  <si>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</si>
  <si>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</si>
  <si>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</si>
  <si>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</si>
  <si>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</si>
  <si>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</si>
  <si>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</si>
  <si>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</si>
  <si>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</si>
  <si>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</si>
  <si>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</si>
  <si>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</si>
  <si>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</si>
  <si>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</si>
  <si>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</si>
  <si>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</si>
  <si>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</si>
  <si>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</si>
  <si>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</si>
  <si>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</si>
  <si>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</si>
  <si>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</si>
  <si>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</si>
  <si>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</si>
  <si>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</si>
  <si>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</si>
  <si>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</si>
  <si>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</si>
  <si>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</si>
  <si>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</si>
  <si>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</si>
  <si>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</si>
  <si>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</si>
  <si>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</si>
  <si>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</si>
  <si>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</si>
  <si>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</si>
  <si>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</si>
  <si>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</si>
  <si>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</si>
  <si>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</si>
  <si>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</si>
  <si>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</si>
  <si>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</si>
  <si>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</si>
  <si>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</si>
  <si>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</si>
  <si>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</si>
  <si>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</si>
  <si>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</si>
  <si>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</si>
  <si>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</si>
  <si>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</si>
  <si>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</si>
  <si>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</si>
  <si>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</si>
  <si>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</si>
  <si>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</si>
  <si>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</si>
  <si>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</si>
  <si>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</si>
  <si>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</si>
  <si>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</si>
  <si>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</si>
  <si>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</si>
  <si>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</si>
  <si>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</si>
  <si>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</si>
  <si>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</si>
  <si>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</si>
  <si>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</si>
  <si>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</si>
  <si>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</si>
  <si>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</si>
  <si>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</si>
  <si>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</si>
  <si>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</si>
  <si>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</si>
  <si>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</si>
  <si>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</si>
  <si>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</si>
  <si>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</si>
  <si>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</si>
  <si>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</si>
  <si>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</si>
  <si>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</si>
  <si>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</si>
  <si>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</si>
  <si>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</si>
  <si>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</si>
  <si>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</si>
  <si>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</si>
  <si>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</si>
  <si>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</si>
  <si>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</si>
  <si>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</si>
  <si>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</si>
  <si>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</si>
  <si>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</si>
  <si>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</si>
  <si>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</si>
  <si>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</si>
  <si>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</si>
  <si>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</si>
  <si>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</si>
  <si>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</si>
  <si>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</si>
  <si>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</si>
  <si>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</si>
  <si>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</si>
  <si>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</si>
  <si>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</si>
  <si>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</si>
  <si>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</si>
  <si>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</si>
  <si>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</si>
  <si>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</si>
  <si>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</si>
  <si>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</si>
  <si>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</si>
  <si>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</si>
  <si>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</si>
  <si>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</si>
  <si>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</si>
  <si>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</si>
  <si>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</si>
  <si>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</si>
  <si>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</si>
  <si>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</si>
  <si>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</si>
  <si>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</si>
  <si>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</si>
  <si>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</si>
  <si>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</si>
  <si>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</si>
  <si>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</si>
  <si>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</si>
  <si>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</si>
  <si>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</si>
  <si>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</si>
  <si>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</si>
  <si>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</si>
  <si>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</si>
  <si>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</si>
  <si>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</si>
  <si>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</si>
  <si>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</si>
  <si>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</si>
  <si>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</si>
  <si>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</si>
  <si>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</si>
  <si>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</si>
  <si>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</si>
  <si>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</si>
  <si>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</si>
  <si>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</si>
  <si>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</si>
  <si>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</si>
  <si>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</si>
  <si>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</si>
  <si>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</si>
  <si>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</si>
  <si>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</si>
  <si>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</si>
  <si>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</si>
  <si>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</si>
  <si>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</si>
  <si>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</si>
  <si>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</si>
  <si>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</si>
  <si>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</si>
  <si>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</si>
  <si>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</si>
  <si>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</si>
  <si>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</si>
  <si>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</si>
  <si>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</si>
  <si>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</si>
  <si>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</si>
  <si>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</si>
  <si>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</si>
  <si>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</si>
  <si>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</si>
  <si>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</si>
  <si>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</si>
  <si>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</si>
  <si>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</si>
  <si>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</si>
  <si>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</si>
  <si>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</si>
  <si>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</si>
  <si>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</si>
  <si>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</si>
  <si>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</si>
  <si>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</si>
  <si>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</si>
  <si>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</si>
  <si>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</si>
  <si>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</si>
  <si>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</si>
  <si>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</si>
  <si>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</si>
  <si>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</si>
  <si>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</si>
  <si>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</si>
  <si>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</si>
  <si>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</si>
  <si>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</si>
  <si>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</si>
  <si>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</si>
  <si>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</si>
  <si>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</si>
  <si>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</si>
  <si>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</si>
  <si>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</si>
  <si>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</si>
  <si>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</si>
  <si>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</si>
  <si>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</si>
  <si>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</si>
  <si>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</si>
  <si>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</si>
  <si>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</si>
  <si>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</si>
  <si>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</si>
  <si>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</si>
  <si>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</si>
  <si>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</si>
  <si>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</si>
  <si>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</si>
  <si>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</si>
  <si>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</si>
  <si>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</si>
  <si>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</si>
  <si>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</si>
  <si>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</si>
  <si>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</si>
  <si>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</si>
  <si>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</si>
  <si>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</si>
  <si>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</si>
  <si>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</si>
  <si>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</si>
  <si>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</si>
  <si>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</si>
  <si>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</si>
  <si>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</si>
  <si>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</si>
  <si>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</si>
  <si>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</si>
  <si>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</si>
  <si>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</si>
  <si>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</si>
  <si>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</si>
  <si>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</si>
  <si>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</si>
  <si>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</si>
  <si>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</si>
  <si>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</si>
  <si>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</si>
  <si>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</si>
  <si>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</si>
  <si>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</si>
  <si>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</si>
  <si>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</si>
  <si>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</si>
  <si>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</si>
  <si>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</si>
  <si>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</si>
  <si>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</si>
  <si>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</si>
  <si>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</si>
  <si>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</si>
  <si>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</si>
  <si>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</si>
  <si>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</si>
  <si>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</si>
  <si>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</si>
  <si>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</si>
  <si>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</si>
  <si>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</si>
  <si>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</si>
  <si>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</si>
  <si>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</si>
  <si>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</si>
  <si>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</si>
  <si>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</si>
  <si>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</si>
  <si>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</si>
  <si>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</si>
  <si>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</si>
  <si>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</si>
  <si>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</si>
  <si>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</si>
  <si>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</si>
  <si>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</si>
  <si>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</si>
  <si>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</si>
  <si>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</si>
  <si>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</si>
  <si>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</si>
  <si>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</si>
  <si>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</si>
  <si>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</si>
  <si>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</si>
  <si>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</si>
  <si>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</si>
  <si>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</si>
  <si>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</si>
  <si>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</si>
  <si>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</si>
  <si>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</si>
  <si>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</si>
  <si>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</si>
  <si>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</si>
  <si>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</si>
  <si>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</si>
  <si>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</si>
  <si>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</si>
  <si>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</si>
  <si>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</si>
  <si>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</si>
  <si>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</si>
  <si>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</si>
  <si>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</si>
  <si>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</si>
  <si>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</si>
  <si>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</si>
  <si>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</si>
  <si>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</si>
  <si>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</si>
  <si>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</si>
  <si>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</si>
  <si>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</si>
  <si>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</si>
  <si>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</si>
  <si>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</si>
  <si>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</si>
  <si>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</si>
  <si>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</si>
  <si>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</si>
  <si>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</si>
  <si>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</si>
  <si>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</si>
  <si>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</si>
  <si>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</si>
  <si>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</si>
  <si>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</si>
  <si>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</si>
  <si>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</si>
  <si>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</si>
  <si>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</si>
  <si>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</si>
  <si>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</si>
  <si>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</si>
  <si>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</si>
  <si>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</si>
  <si>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</si>
  <si>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</si>
  <si>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</si>
  <si>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</si>
  <si>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</si>
  <si>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</si>
  <si>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</si>
  <si>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</si>
  <si>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</si>
  <si>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</si>
  <si>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</si>
  <si>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</si>
  <si>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</si>
  <si>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</si>
  <si>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</si>
  <si>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</si>
  <si>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</si>
  <si>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</si>
  <si>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</si>
  <si>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</si>
  <si>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</si>
  <si>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</si>
  <si>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</si>
  <si>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</si>
  <si>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</si>
  <si>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</si>
  <si>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</si>
  <si>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</si>
  <si>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</si>
  <si>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</si>
  <si>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</si>
  <si>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</si>
  <si>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</si>
  <si>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</si>
  <si>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</si>
  <si>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</si>
  <si>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</si>
  <si>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</si>
  <si>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</si>
  <si>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</si>
  <si>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</si>
  <si>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</si>
  <si>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</si>
  <si>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</si>
  <si>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</si>
  <si>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</si>
  <si>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</si>
  <si>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</si>
  <si>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</si>
  <si>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</si>
  <si>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</si>
  <si>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</si>
  <si>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</si>
  <si>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</si>
  <si>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</si>
  <si>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</si>
  <si>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</si>
  <si>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</si>
  <si>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</si>
  <si>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</si>
  <si>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</si>
  <si>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</si>
  <si>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</si>
  <si>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</si>
  <si>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</si>
  <si>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</si>
  <si>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</si>
  <si>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</si>
  <si>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</si>
  <si>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</si>
  <si>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</si>
  <si>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</si>
  <si>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</si>
  <si>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</si>
  <si>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</si>
  <si>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</si>
  <si>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</si>
  <si>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</si>
  <si>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</si>
  <si>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</si>
  <si>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</si>
  <si>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</si>
  <si>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</si>
  <si>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</si>
  <si>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</si>
  <si>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</si>
  <si>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</si>
  <si>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</si>
  <si>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</si>
  <si>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</si>
  <si>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</si>
  <si>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</si>
  <si>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</si>
  <si>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</si>
  <si>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</si>
  <si>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</si>
  <si>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</si>
  <si>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</si>
  <si>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</si>
  <si>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</si>
  <si>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</si>
  <si>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</si>
  <si>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</si>
  <si>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</si>
  <si>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</si>
  <si>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</si>
  <si>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</si>
  <si>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</si>
  <si>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</si>
  <si>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</si>
  <si>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</si>
  <si>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</si>
  <si>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</si>
  <si>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</si>
  <si>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</si>
  <si>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</si>
  <si>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</si>
  <si>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</si>
  <si>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</si>
  <si>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</si>
  <si>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</si>
  <si>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</si>
  <si>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</si>
  <si>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</si>
  <si>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</si>
  <si>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</si>
  <si>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</si>
  <si>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</si>
  <si>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</si>
  <si>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</si>
  <si>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</si>
  <si>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</si>
  <si>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</si>
  <si>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</si>
  <si>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</si>
  <si>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</si>
  <si>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</si>
  <si>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</si>
  <si>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</si>
  <si>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</si>
  <si>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</si>
  <si>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</si>
  <si>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</si>
  <si>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</si>
  <si>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</si>
  <si>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</si>
  <si>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</si>
  <si>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</si>
  <si>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</si>
  <si>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</si>
  <si>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</si>
  <si>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</si>
  <si>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</si>
  <si>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</si>
  <si>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</si>
  <si>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</si>
  <si>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</si>
  <si>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</si>
  <si>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</si>
  <si>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</si>
  <si>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</si>
  <si>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</si>
  <si>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</si>
  <si>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</si>
  <si>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</si>
  <si>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</si>
  <si>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</si>
  <si>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</si>
  <si>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</si>
  <si>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</si>
  <si>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</si>
  <si>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</si>
  <si>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</si>
  <si>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</si>
  <si>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</si>
  <si>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</si>
  <si>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</si>
  <si>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</si>
  <si>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</si>
  <si>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</si>
  <si>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</si>
  <si>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</si>
  <si>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</si>
  <si>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</si>
  <si>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</si>
  <si>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</si>
  <si>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</si>
  <si>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</si>
  <si>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</si>
  <si>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</si>
  <si>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</si>
  <si>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</si>
  <si>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</si>
  <si>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</si>
  <si>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</si>
  <si>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</si>
  <si>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</si>
  <si>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</si>
  <si>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</si>
  <si>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</si>
  <si>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</si>
  <si>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</si>
  <si>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</si>
  <si>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</si>
  <si>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</si>
  <si>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</si>
  <si>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</si>
  <si>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</si>
  <si>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</si>
  <si>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</si>
  <si>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</si>
  <si>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</si>
  <si>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</si>
  <si>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</si>
  <si>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</si>
  <si>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</si>
  <si>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</si>
  <si>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</si>
  <si>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</si>
  <si>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</si>
  <si>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</si>
  <si>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</si>
  <si>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</si>
  <si>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</si>
  <si>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</si>
  <si>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</si>
  <si>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</si>
  <si>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</si>
  <si>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</si>
  <si>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</si>
  <si>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</si>
  <si>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</si>
  <si>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</si>
  <si>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</si>
  <si>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</si>
  <si>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</si>
  <si>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</si>
  <si>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</si>
  <si>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</si>
  <si>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</si>
  <si>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</si>
  <si>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</si>
  <si>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</si>
  <si>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</si>
  <si>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</si>
  <si>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</si>
  <si>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</si>
  <si>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</si>
  <si>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</si>
  <si>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</si>
  <si>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</si>
  <si>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</si>
  <si>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</si>
  <si>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</si>
  <si>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</si>
  <si>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</si>
  <si>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</si>
  <si>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</si>
  <si>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</si>
  <si>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</si>
  <si>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</si>
  <si>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</si>
  <si>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</si>
  <si>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</si>
  <si>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</si>
  <si>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</si>
  <si>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</si>
  <si>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</si>
  <si>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</si>
  <si>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</si>
  <si>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</si>
  <si>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</si>
  <si>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</si>
  <si>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</si>
  <si>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</si>
  <si>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</si>
  <si>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</si>
  <si>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</si>
  <si>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</si>
  <si>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</si>
  <si>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</si>
  <si>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</si>
  <si>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</si>
  <si>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</si>
  <si>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</si>
  <si>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</si>
  <si>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</si>
  <si>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</si>
  <si>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</si>
  <si>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</si>
  <si>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</si>
  <si>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</si>
  <si>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</si>
  <si>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</si>
  <si>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</si>
  <si>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</si>
  <si>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</si>
  <si>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</si>
  <si>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</si>
  <si>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</si>
  <si>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</si>
  <si>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</si>
  <si>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</si>
  <si>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</si>
  <si>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</si>
  <si>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</si>
  <si>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</si>
  <si>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</si>
  <si>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</si>
  <si>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</si>
  <si>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</si>
  <si>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</si>
  <si>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</si>
  <si>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</si>
  <si>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</si>
  <si>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</si>
  <si>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</si>
  <si>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</si>
  <si>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</si>
  <si>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</si>
  <si>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</si>
  <si>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</si>
  <si>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</si>
  <si>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</si>
  <si>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</si>
  <si>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</si>
  <si>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</si>
  <si>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</si>
  <si>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</si>
  <si>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</si>
  <si>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</si>
  <si>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</si>
  <si>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</si>
  <si>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</si>
  <si>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</si>
  <si>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</si>
  <si>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</si>
  <si>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</si>
  <si>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</si>
  <si>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</si>
  <si>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</si>
  <si>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</si>
  <si>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</si>
  <si>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</si>
  <si>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</si>
  <si>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</si>
  <si>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</si>
  <si>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</si>
  <si>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</si>
  <si>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</si>
  <si>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</si>
  <si>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</si>
  <si>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</si>
  <si>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</si>
  <si>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</si>
  <si>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</si>
  <si>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</si>
  <si>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</si>
  <si>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</si>
  <si>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</si>
  <si>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</si>
  <si>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</si>
  <si>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</si>
  <si>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</si>
  <si>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</si>
  <si>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</si>
  <si>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</si>
  <si>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</si>
  <si>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</si>
  <si>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</si>
  <si>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</si>
  <si>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</si>
  <si>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</si>
  <si>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</si>
  <si>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</si>
  <si>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</si>
  <si>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</si>
  <si>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</si>
  <si>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</si>
  <si>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</si>
  <si>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</si>
  <si>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</si>
  <si>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</si>
  <si>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</si>
  <si>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</si>
  <si>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</si>
  <si>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</si>
  <si>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</si>
  <si>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</si>
  <si>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</si>
  <si>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</si>
  <si>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</si>
  <si>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</si>
  <si>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</si>
  <si>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</si>
  <si>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</si>
  <si>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</si>
  <si>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</si>
  <si>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</si>
  <si>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</si>
  <si>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</si>
  <si>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</si>
  <si>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</si>
  <si>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</si>
  <si>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</si>
  <si>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</si>
  <si>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</si>
  <si>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</si>
  <si>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</si>
  <si>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</si>
  <si>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</si>
  <si>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</si>
  <si>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</si>
  <si>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</si>
  <si>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</si>
  <si>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</si>
  <si>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</si>
  <si>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</si>
  <si>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</si>
  <si>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</si>
  <si>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</si>
  <si>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</si>
  <si>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</si>
  <si>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</si>
  <si>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</si>
  <si>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</si>
  <si>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</si>
  <si>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</si>
  <si>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</si>
  <si>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</si>
  <si>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</si>
  <si>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</si>
  <si>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</si>
  <si>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</si>
  <si>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</si>
  <si>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</si>
  <si>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</si>
  <si>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</si>
  <si>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</si>
  <si>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</si>
  <si>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</si>
  <si>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</si>
  <si>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</si>
  <si>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</si>
  <si>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</si>
  <si>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</si>
  <si>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</si>
  <si>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</si>
  <si>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</si>
  <si>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</si>
  <si>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</si>
  <si>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</si>
  <si>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</si>
  <si>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</si>
  <si>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</si>
  <si>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</si>
  <si>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</si>
  <si>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</si>
  <si>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</si>
  <si>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</si>
  <si>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</si>
  <si>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</si>
  <si>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</si>
  <si>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</si>
  <si>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</si>
  <si>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</si>
  <si>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</si>
  <si>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</si>
  <si>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</si>
  <si>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</si>
  <si>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</si>
  <si>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</si>
  <si>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</si>
  <si>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</si>
  <si>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</si>
  <si>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</si>
  <si>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</si>
  <si>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</si>
  <si>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</si>
  <si>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</si>
  <si>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</si>
  <si>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</si>
  <si>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</si>
  <si>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</si>
  <si>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</si>
  <si>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</si>
  <si>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</si>
  <si>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</si>
  <si>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</si>
  <si>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</si>
  <si>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</si>
  <si>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</si>
  <si>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</si>
  <si>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</si>
  <si>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</si>
  <si>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</si>
  <si>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</si>
  <si>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</si>
  <si>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</si>
  <si>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</si>
  <si>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</si>
  <si>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</si>
  <si>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</si>
  <si>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</si>
  <si>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</si>
  <si>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</si>
  <si>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</si>
  <si>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</si>
  <si>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</si>
  <si>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</si>
  <si>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</si>
  <si>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</si>
  <si>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</si>
  <si>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</si>
  <si>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</si>
  <si>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</si>
  <si>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</si>
  <si>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</si>
  <si>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</si>
  <si>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</si>
  <si>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</si>
  <si>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</si>
  <si>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</si>
  <si>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</si>
  <si>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</si>
  <si>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</si>
  <si>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</si>
  <si>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</si>
  <si>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</si>
  <si>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</si>
  <si>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</si>
  <si>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</si>
  <si>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</si>
  <si>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</si>
  <si>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</si>
  <si>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</si>
  <si>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</si>
  <si>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</si>
  <si>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</si>
  <si>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</si>
  <si>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</si>
  <si>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</si>
  <si>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</si>
  <si>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</si>
  <si>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</si>
  <si>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</si>
  <si>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</si>
  <si>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</si>
  <si>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</si>
  <si>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</si>
  <si>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</si>
  <si>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</si>
  <si>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</si>
  <si>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</si>
  <si>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</si>
  <si>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</si>
  <si>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</si>
  <si>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</si>
  <si>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</si>
  <si>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</si>
  <si>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</si>
  <si>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</si>
  <si>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</si>
  <si>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</si>
  <si>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</si>
  <si>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</si>
  <si>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</si>
  <si>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</si>
  <si>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</si>
  <si>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</si>
  <si>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</si>
  <si>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</si>
  <si>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</si>
  <si>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</si>
  <si>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</si>
  <si>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</si>
  <si>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</si>
  <si>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</si>
  <si>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</si>
  <si>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</si>
  <si>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</si>
  <si>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</si>
  <si>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</si>
  <si>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</si>
  <si>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</si>
  <si>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</si>
  <si>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</si>
  <si>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</si>
  <si>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</si>
  <si>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</si>
  <si>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</si>
  <si>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</si>
  <si>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</si>
  <si>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</si>
  <si>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</si>
  <si>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</si>
  <si>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</si>
  <si>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</si>
  <si>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</si>
  <si>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</si>
  <si>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</si>
  <si>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</si>
  <si>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</si>
  <si>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</si>
  <si>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</si>
  <si>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</si>
  <si>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</si>
  <si>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</si>
  <si>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</si>
  <si>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</si>
  <si>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</si>
  <si>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</si>
  <si>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</si>
  <si>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</si>
  <si>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</si>
  <si>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</si>
  <si>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</si>
  <si>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</si>
  <si>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</si>
  <si>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</si>
  <si>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</si>
  <si>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</si>
  <si>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</si>
  <si>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</si>
  <si>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</si>
  <si>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</si>
  <si>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</si>
  <si>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</si>
  <si>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</si>
  <si>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</si>
  <si>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</si>
  <si>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</si>
  <si>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</si>
  <si>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</si>
  <si>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</si>
  <si>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</si>
  <si>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</si>
  <si>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</si>
  <si>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</si>
  <si>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</si>
  <si>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</si>
  <si>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</si>
  <si>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</si>
  <si>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</si>
  <si>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</si>
  <si>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</si>
  <si>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</si>
  <si>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</si>
  <si>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</si>
  <si>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</si>
  <si>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</si>
  <si>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</si>
  <si>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</si>
  <si>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</si>
  <si>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</si>
  <si>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</si>
  <si>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</si>
  <si>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</si>
  <si>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</si>
  <si>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</si>
  <si>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</si>
  <si>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</si>
  <si>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</si>
  <si>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</si>
  <si>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</si>
  <si>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</si>
  <si>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</si>
  <si>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</si>
  <si>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</si>
  <si>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</si>
  <si>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</si>
  <si>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</si>
  <si>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</si>
  <si>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</si>
  <si>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</si>
  <si>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</si>
  <si>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</si>
  <si>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</si>
  <si>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</si>
  <si>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</si>
  <si>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</si>
  <si>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</si>
  <si>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</si>
  <si>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</si>
  <si>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</si>
  <si>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</si>
  <si>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</si>
  <si>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</si>
  <si>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</si>
  <si>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</si>
  <si>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</si>
  <si>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</si>
  <si>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</si>
  <si>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</si>
  <si>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</si>
  <si>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</si>
  <si>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</si>
  <si>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</si>
  <si>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</si>
  <si>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</si>
  <si>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</si>
  <si>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</si>
  <si>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</si>
  <si>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</si>
  <si>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</si>
  <si>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</si>
  <si>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</si>
  <si>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</si>
  <si>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</si>
  <si>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</si>
  <si>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</si>
  <si>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</si>
  <si>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</si>
  <si>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</si>
  <si>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</si>
  <si>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</si>
  <si>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</si>
  <si>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</si>
  <si>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</si>
  <si>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</si>
  <si>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</si>
  <si>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</si>
  <si>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</si>
  <si>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</si>
  <si>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</si>
  <si>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</si>
  <si>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</si>
  <si>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</si>
  <si>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</si>
  <si>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</si>
  <si>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</si>
  <si>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</si>
  <si>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</si>
  <si>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</si>
  <si>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</si>
  <si>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</si>
  <si>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</si>
  <si>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</si>
  <si>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</si>
  <si>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</si>
  <si>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</si>
  <si>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</si>
  <si>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</si>
  <si>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</si>
  <si>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</si>
  <si>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</si>
  <si>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</si>
  <si>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</si>
  <si>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</si>
  <si>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</si>
  <si>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</si>
  <si>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</si>
  <si>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</si>
  <si>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</si>
  <si>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</si>
  <si>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</si>
  <si>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</si>
  <si>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</si>
  <si>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</si>
  <si>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</si>
  <si>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</si>
  <si>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</si>
  <si>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</si>
  <si>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</si>
  <si>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</si>
  <si>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</si>
  <si>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</si>
  <si>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</si>
  <si>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</si>
  <si>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</si>
  <si>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</si>
  <si>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</si>
  <si>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</si>
  <si>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</si>
  <si>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</si>
  <si>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</si>
  <si>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</si>
  <si>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</si>
  <si>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</si>
  <si>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</si>
  <si>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</si>
  <si>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</si>
  <si>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</si>
  <si>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</si>
  <si>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</si>
  <si>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</si>
  <si>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</si>
  <si>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</si>
  <si>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</si>
  <si>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</si>
  <si>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</si>
  <si>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</si>
  <si>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</si>
  <si>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</si>
  <si>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</si>
  <si>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</si>
  <si>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</si>
  <si>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</si>
  <si>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</si>
  <si>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</si>
  <si>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</si>
  <si>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</si>
  <si>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</si>
  <si>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</si>
  <si>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</si>
  <si>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</si>
  <si>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</si>
  <si>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</si>
  <si>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</si>
  <si>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</si>
  <si>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</si>
  <si>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</si>
  <si>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</si>
  <si>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</si>
  <si>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</si>
  <si>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</si>
  <si>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</si>
  <si>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</si>
  <si>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</si>
  <si>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</si>
  <si>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</si>
  <si>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</si>
  <si>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</si>
  <si>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</si>
  <si>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</si>
  <si>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</si>
  <si>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</si>
  <si>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</si>
  <si>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</si>
  <si>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</si>
  <si>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</si>
  <si>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</si>
  <si>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</si>
  <si>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</si>
  <si>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</si>
  <si>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</si>
  <si>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</si>
  <si>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</si>
  <si>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</si>
  <si>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</si>
  <si>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</si>
  <si>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</si>
  <si>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</si>
  <si>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</si>
  <si>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</si>
  <si>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</si>
  <si>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</si>
  <si>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</si>
  <si>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</si>
  <si>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</si>
  <si>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</si>
  <si>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</si>
  <si>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</si>
  <si>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</si>
  <si>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</si>
  <si>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</si>
  <si>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</si>
  <si>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</si>
  <si>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</si>
  <si>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</si>
  <si>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</si>
  <si>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</si>
  <si>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</si>
  <si>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</si>
  <si>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</si>
  <si>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</si>
  <si>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</si>
  <si>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</si>
  <si>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</si>
  <si>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</si>
  <si>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</si>
  <si>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</si>
  <si>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</si>
  <si>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</si>
  <si>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</si>
  <si>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</si>
  <si>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</si>
  <si>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</si>
  <si>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</si>
  <si>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</si>
  <si>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</si>
  <si>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</si>
  <si>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</si>
  <si>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</si>
  <si>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</si>
  <si>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</si>
  <si>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</si>
  <si>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</si>
  <si>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</si>
  <si>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</si>
  <si>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</si>
  <si>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</si>
  <si>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</si>
  <si>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</si>
  <si>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</si>
  <si>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</si>
  <si>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</si>
  <si>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</si>
  <si>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</si>
  <si>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</si>
  <si>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</si>
  <si>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</si>
  <si>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</si>
  <si>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</si>
  <si>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</si>
  <si>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</si>
  <si>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</si>
  <si>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</si>
  <si>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</si>
  <si>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</si>
  <si>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</si>
  <si>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</si>
  <si>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</si>
  <si>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</si>
  <si>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</si>
  <si>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</si>
  <si>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</si>
  <si>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</si>
  <si>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</si>
  <si>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</si>
  <si>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</si>
  <si>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</si>
  <si>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</si>
  <si>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</si>
  <si>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</si>
  <si>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</si>
  <si>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</si>
  <si>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</si>
  <si>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</si>
  <si>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</si>
  <si>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</si>
  <si>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</si>
  <si>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</si>
  <si>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</si>
  <si>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</si>
  <si>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</si>
  <si>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</si>
  <si>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</si>
  <si>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</si>
  <si>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</si>
  <si>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</si>
  <si>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</si>
  <si>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</si>
  <si>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</si>
  <si>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</si>
  <si>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</si>
  <si>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</si>
  <si>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</si>
  <si>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</si>
  <si>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</si>
  <si>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</si>
  <si>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</si>
  <si>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</si>
  <si>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</si>
  <si>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</si>
  <si>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</si>
  <si>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</si>
  <si>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</si>
  <si>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</si>
  <si>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</si>
  <si>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</si>
  <si>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</si>
  <si>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</si>
  <si>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</si>
  <si>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</si>
  <si>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</si>
  <si>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</si>
  <si>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</si>
  <si>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</si>
  <si>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</si>
  <si>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</si>
  <si>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</si>
  <si>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</si>
  <si>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</si>
  <si>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</si>
  <si>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</si>
  <si>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</si>
  <si>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</si>
  <si>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</si>
  <si>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</si>
  <si>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</si>
  <si>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</si>
  <si>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</si>
  <si>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</si>
  <si>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</si>
  <si>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</si>
  <si>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</si>
  <si>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</si>
  <si>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</si>
  <si>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</si>
  <si>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</si>
  <si>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</si>
  <si>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</si>
  <si>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</si>
  <si>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</si>
  <si>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</si>
  <si>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</si>
  <si>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</si>
  <si>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</si>
  <si>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</si>
  <si>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</si>
  <si>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</si>
  <si>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</si>
  <si>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</si>
  <si>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</si>
  <si>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</si>
  <si>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</si>
  <si>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</si>
  <si>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</si>
  <si>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</si>
  <si>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</si>
  <si>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</si>
  <si>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</si>
  <si>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</si>
  <si>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</si>
  <si>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</si>
  <si>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</si>
  <si>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</si>
  <si>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</si>
  <si>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</si>
  <si>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</si>
  <si>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</si>
  <si>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</si>
  <si>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</si>
  <si>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</si>
  <si>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</si>
  <si>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</si>
  <si>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</si>
  <si>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</si>
  <si>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</si>
  <si>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</si>
  <si>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</si>
  <si>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</si>
  <si>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</si>
  <si>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</si>
  <si>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</si>
  <si>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</si>
  <si>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</si>
  <si>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</si>
  <si>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</si>
  <si>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</si>
  <si>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</si>
  <si>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</si>
  <si>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</si>
  <si>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</si>
  <si>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</si>
  <si>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</si>
  <si>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</si>
  <si>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</si>
  <si>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</si>
  <si>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</si>
  <si>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</si>
  <si>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</si>
  <si>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</si>
  <si>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</si>
  <si>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</si>
  <si>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</si>
  <si>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</si>
  <si>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</si>
  <si>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</si>
  <si>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</si>
  <si>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</si>
  <si>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</si>
  <si>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</si>
  <si>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</si>
  <si>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</si>
  <si>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</si>
  <si>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</si>
  <si>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</si>
  <si>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</si>
  <si>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</si>
  <si>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</si>
  <si>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</si>
  <si>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</si>
  <si>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</si>
  <si>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</si>
  <si>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</si>
  <si>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</si>
  <si>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</si>
  <si>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</si>
  <si>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</si>
  <si>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</si>
  <si>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</si>
  <si>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</si>
  <si>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</si>
  <si>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</si>
  <si>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</si>
  <si>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</si>
  <si>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</si>
  <si>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</si>
  <si>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</si>
  <si>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</si>
  <si>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</si>
  <si>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</si>
  <si>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</si>
  <si>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</si>
  <si>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</si>
  <si>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</si>
  <si>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</si>
  <si>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</si>
  <si>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</si>
  <si>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</si>
  <si>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</si>
  <si>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</si>
  <si>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</si>
  <si>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</si>
  <si>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</si>
  <si>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</si>
  <si>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</si>
  <si>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</si>
  <si>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</si>
  <si>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</si>
  <si>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</si>
  <si>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</si>
  <si>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</si>
  <si>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</si>
  <si>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</si>
  <si>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</si>
  <si>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</si>
  <si>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</si>
  <si>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</si>
  <si>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</si>
  <si>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</si>
  <si>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</si>
  <si>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</si>
  <si>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</si>
  <si>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</si>
  <si>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</si>
  <si>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</si>
  <si>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</si>
  <si>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</si>
  <si>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</si>
  <si>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</si>
  <si>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</si>
  <si>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</si>
  <si>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</si>
  <si>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</si>
  <si>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</si>
  <si>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</si>
  <si>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</si>
  <si>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</si>
  <si>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</si>
  <si>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</si>
  <si>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</si>
  <si>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</si>
  <si>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</si>
  <si>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</si>
  <si>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</si>
  <si>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</si>
  <si>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</si>
  <si>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</si>
  <si>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</si>
  <si>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</si>
  <si>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</si>
  <si>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</si>
  <si>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</si>
  <si>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</si>
  <si>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</si>
  <si>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</si>
  <si>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</si>
  <si>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</si>
  <si>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</si>
  <si>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</si>
  <si>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</si>
  <si>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</si>
  <si>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</si>
  <si>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</si>
  <si>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</si>
  <si>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</si>
  <si>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</si>
  <si>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</si>
  <si>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</si>
  <si>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</si>
  <si>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</si>
  <si>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</si>
  <si>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</si>
  <si>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</si>
  <si>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</si>
  <si>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</si>
  <si>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</si>
  <si>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</si>
  <si>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</si>
  <si>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</si>
  <si>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</si>
  <si>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</si>
  <si>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</si>
  <si>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</si>
  <si>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</si>
  <si>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</si>
  <si>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</si>
  <si>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</si>
  <si>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</si>
  <si>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</si>
  <si>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</si>
  <si>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</si>
  <si>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</si>
  <si>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</si>
  <si>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</si>
  <si>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</si>
  <si>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</si>
  <si>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</si>
  <si>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</si>
  <si>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</si>
  <si>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</si>
  <si>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</si>
  <si>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</si>
  <si>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</si>
  <si>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</si>
  <si>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</si>
  <si>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</si>
  <si>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</si>
  <si>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</si>
  <si>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</si>
  <si>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</si>
  <si>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</si>
  <si>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</si>
  <si>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</si>
  <si>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</si>
  <si>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</si>
  <si>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</si>
  <si>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</si>
  <si>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</si>
  <si>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</si>
  <si>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</si>
  <si>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</si>
  <si>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</si>
  <si>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</si>
  <si>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</si>
  <si>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</si>
  <si>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</si>
  <si>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</si>
  <si>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</si>
  <si>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</si>
  <si>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</si>
  <si>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</si>
  <si>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</si>
  <si>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</si>
  <si>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</si>
  <si>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</si>
  <si>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</si>
  <si>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</si>
  <si>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</si>
  <si>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</si>
  <si>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</si>
  <si>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</si>
  <si>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</si>
  <si>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</si>
  <si>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</si>
  <si>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</si>
  <si>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</si>
  <si>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</si>
  <si>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</si>
  <si>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</si>
  <si>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</si>
  <si>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</si>
  <si>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</si>
  <si>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</si>
  <si>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</si>
  <si>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</si>
  <si>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</si>
  <si>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</si>
  <si>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</si>
  <si>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</si>
  <si>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</si>
  <si>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</si>
  <si>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</si>
  <si>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</si>
  <si>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</si>
  <si>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</si>
  <si>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</si>
  <si>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</si>
  <si>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</si>
  <si>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</si>
  <si>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</si>
  <si>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</si>
  <si>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</si>
  <si>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</si>
  <si>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</si>
  <si>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</si>
  <si>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</si>
  <si>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</si>
  <si>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</si>
  <si>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</si>
  <si>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</si>
  <si>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</si>
  <si>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</si>
  <si>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</si>
  <si>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</si>
  <si>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</si>
  <si>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</si>
  <si>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</si>
  <si>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</si>
  <si>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</si>
  <si>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</si>
  <si>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</si>
  <si>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</si>
  <si>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</si>
  <si>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</si>
  <si>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</si>
  <si>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</si>
  <si>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</si>
  <si>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</si>
  <si>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</si>
  <si>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</si>
  <si>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</si>
  <si>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</si>
  <si>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</si>
  <si>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</si>
  <si>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</si>
  <si>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</si>
  <si>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</si>
  <si>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</si>
  <si>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</si>
  <si>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</si>
  <si>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</si>
  <si>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</si>
  <si>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</si>
  <si>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</si>
  <si>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</si>
  <si>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</si>
  <si>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</si>
  <si>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</si>
  <si>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</si>
  <si>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</si>
  <si>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</si>
  <si>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</si>
  <si>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</si>
  <si>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</si>
  <si>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</si>
  <si>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</si>
  <si>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</si>
  <si>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</si>
  <si>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</si>
  <si>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</si>
  <si>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</si>
  <si>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</si>
  <si>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</si>
  <si>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</si>
  <si>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</si>
  <si>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</si>
  <si>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</si>
  <si>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</si>
  <si>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</si>
  <si>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</si>
  <si>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</si>
  <si>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</si>
  <si>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</si>
  <si>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</si>
  <si>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</si>
  <si>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</si>
  <si>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</si>
  <si>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</si>
  <si>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</si>
  <si>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</si>
  <si>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</si>
  <si>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</si>
  <si>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</si>
  <si>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</si>
  <si>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</si>
  <si>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</si>
  <si>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</si>
  <si>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</si>
  <si>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</si>
  <si>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</si>
  <si>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</si>
  <si>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</si>
  <si>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</si>
  <si>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</si>
  <si>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</si>
  <si>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</si>
  <si>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</si>
  <si>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</si>
  <si>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</si>
  <si>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</si>
  <si>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</si>
  <si>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</si>
  <si>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</si>
  <si>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</si>
  <si>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</si>
  <si>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</si>
  <si>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</si>
  <si>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</si>
  <si>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</si>
  <si>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</si>
  <si>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</si>
  <si>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</si>
  <si>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</si>
  <si>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</si>
  <si>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</si>
  <si>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</si>
  <si>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</si>
  <si>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</si>
  <si>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</si>
  <si>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</si>
  <si>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</si>
  <si>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</si>
  <si>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</si>
  <si>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</si>
  <si>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</si>
  <si>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</si>
  <si>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</si>
  <si>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</si>
  <si>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</si>
  <si>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</si>
  <si>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</si>
  <si>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</si>
  <si>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</si>
  <si>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</si>
  <si>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</si>
  <si>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</si>
  <si>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</si>
  <si>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</si>
  <si>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</si>
  <si>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</si>
  <si>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</si>
  <si>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</si>
  <si>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</si>
  <si>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</si>
  <si>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</si>
  <si>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</si>
  <si>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</si>
  <si>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</si>
  <si>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</si>
  <si>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</si>
  <si>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</si>
  <si>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</si>
  <si>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</si>
  <si>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</si>
  <si>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</si>
  <si>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</si>
  <si>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</si>
  <si>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</si>
  <si>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</si>
  <si>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</si>
  <si>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</si>
  <si>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</si>
  <si>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</si>
  <si>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</si>
  <si>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</si>
  <si>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</si>
  <si>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</si>
  <si>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</si>
  <si>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</si>
  <si>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</si>
  <si>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</si>
  <si>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</si>
  <si>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</si>
  <si>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</si>
  <si>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</si>
  <si>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</si>
  <si>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</si>
  <si>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</si>
  <si>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</si>
  <si>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</si>
  <si>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</si>
  <si>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</si>
  <si>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</si>
  <si>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</si>
  <si>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</si>
  <si>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</si>
  <si>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</si>
  <si>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</si>
  <si>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</si>
  <si>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</si>
  <si>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</si>
  <si>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</si>
  <si>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</si>
  <si>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</si>
  <si>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</si>
  <si>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</si>
  <si>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</si>
  <si>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</si>
  <si>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</si>
  <si>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</si>
  <si>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</si>
  <si>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</si>
  <si>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</si>
  <si>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</si>
  <si>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</si>
  <si>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</si>
  <si>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</si>
  <si>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</si>
  <si>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</si>
  <si>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</si>
  <si>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</si>
  <si>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</si>
  <si>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</si>
  <si>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</si>
  <si>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</si>
  <si>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</si>
  <si>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</si>
  <si>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</si>
  <si>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</si>
  <si>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</si>
  <si>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</si>
  <si>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</si>
  <si>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</si>
  <si>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</si>
  <si>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</si>
  <si>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</si>
  <si>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</si>
  <si>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</si>
  <si>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</si>
  <si>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</si>
  <si>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</si>
  <si>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</si>
  <si>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</si>
  <si>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</si>
  <si>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</si>
  <si>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</si>
  <si>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</si>
  <si>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</si>
  <si>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</si>
  <si>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</si>
  <si>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</si>
  <si>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</si>
  <si>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</si>
  <si>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</si>
  <si>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</si>
  <si>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</si>
  <si>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</si>
  <si>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</si>
  <si>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</si>
  <si>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</si>
  <si>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</si>
  <si>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</si>
  <si>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</si>
  <si>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</si>
  <si>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</si>
  <si>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</si>
  <si>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</si>
  <si>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</si>
  <si>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</si>
  <si>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</si>
  <si>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</si>
  <si>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</si>
  <si>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</si>
  <si>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</si>
  <si>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</si>
  <si>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</si>
  <si>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</si>
  <si>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</si>
  <si>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</si>
  <si>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</si>
  <si>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</si>
  <si>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</si>
  <si>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</si>
  <si>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</si>
  <si>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</si>
  <si>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</si>
  <si>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</si>
  <si>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</si>
  <si>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</si>
  <si>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</si>
  <si>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</si>
  <si>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</si>
  <si>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</si>
  <si>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</si>
  <si>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</si>
  <si>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</si>
  <si>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</si>
  <si>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</si>
  <si>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</si>
  <si>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</si>
  <si>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</si>
  <si>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</si>
  <si>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</si>
  <si>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</si>
  <si>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</si>
  <si>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</si>
  <si>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</si>
  <si>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</si>
  <si>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</si>
  <si>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</si>
  <si>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</si>
  <si>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</si>
  <si>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</si>
  <si>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</si>
  <si>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</si>
  <si>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</si>
  <si>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</si>
  <si>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</si>
  <si>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</si>
  <si>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</si>
  <si>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</si>
  <si>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</si>
  <si>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</si>
  <si>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</si>
  <si>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</si>
  <si>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</si>
  <si>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</si>
  <si>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</si>
  <si>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</si>
  <si>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</si>
  <si>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</si>
  <si>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</si>
  <si>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</si>
  <si>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</si>
  <si>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</si>
  <si>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</si>
  <si>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</si>
  <si>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</si>
  <si>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</si>
  <si>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</si>
  <si>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</si>
  <si>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</si>
  <si>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</si>
  <si>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</si>
  <si>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</si>
  <si>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</si>
  <si>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</si>
  <si>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</si>
  <si>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</si>
  <si>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</si>
  <si>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</si>
  <si>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</si>
  <si>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</si>
  <si>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</si>
  <si>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</si>
  <si>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</si>
  <si>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</si>
  <si>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</si>
  <si>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</si>
  <si>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</si>
  <si>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</si>
  <si>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</si>
  <si>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</si>
  <si>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</si>
  <si>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</si>
  <si>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</si>
  <si>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</si>
  <si>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</si>
  <si>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</si>
  <si>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</si>
  <si>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</si>
  <si>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</si>
  <si>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</si>
  <si>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</si>
  <si>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</si>
  <si>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</si>
  <si>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</si>
  <si>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</si>
  <si>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</si>
  <si>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</si>
  <si>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</si>
  <si>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</si>
  <si>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</si>
  <si>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</si>
  <si>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</si>
  <si>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</si>
  <si>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</si>
  <si>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</si>
  <si>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</si>
  <si>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</si>
  <si>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</si>
  <si>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</si>
  <si>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</si>
  <si>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</si>
  <si>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</si>
  <si>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</si>
  <si>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</si>
  <si>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</si>
  <si>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</si>
  <si>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</si>
  <si>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</si>
  <si>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</si>
  <si>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</si>
  <si>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</si>
  <si>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</si>
  <si>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</si>
  <si>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</si>
  <si>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</si>
  <si>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</si>
  <si>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</si>
  <si>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</si>
  <si>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</si>
  <si>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</si>
  <si>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</si>
  <si>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</si>
  <si>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</si>
  <si>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</si>
  <si>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</si>
  <si>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</si>
  <si>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</si>
  <si>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</si>
  <si>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</si>
  <si>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</si>
  <si>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</si>
  <si>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</si>
  <si>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</si>
  <si>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</si>
  <si>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</si>
  <si>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</si>
  <si>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</si>
  <si>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</si>
  <si>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</si>
  <si>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</si>
  <si>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</si>
  <si>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</si>
  <si>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</si>
  <si>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</si>
  <si>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</si>
  <si>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</si>
  <si>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</si>
  <si>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</si>
  <si>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</si>
  <si>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</si>
  <si>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</si>
  <si>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</si>
  <si>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</si>
  <si>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</si>
  <si>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</si>
  <si>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</si>
  <si>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</si>
  <si>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</si>
  <si>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</si>
  <si>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</si>
  <si>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</si>
  <si>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</si>
  <si>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</si>
  <si>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</si>
  <si>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</si>
  <si>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</si>
  <si>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</si>
  <si>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</si>
  <si>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</si>
  <si>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</si>
  <si>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</si>
  <si>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</si>
  <si>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</si>
  <si>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</si>
  <si>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</si>
  <si>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</si>
  <si>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</si>
  <si>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</si>
  <si>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</si>
  <si>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</si>
  <si>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</si>
  <si>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</si>
  <si>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</si>
  <si>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</si>
  <si>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</si>
  <si>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</si>
  <si>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</si>
  <si>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</si>
  <si>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</si>
  <si>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</si>
  <si>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</si>
  <si>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</si>
  <si>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</si>
  <si>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</si>
  <si>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</si>
  <si>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</si>
  <si>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</si>
  <si>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</si>
  <si>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</si>
  <si>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</si>
  <si>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</si>
  <si>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</si>
  <si>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</si>
  <si>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</si>
  <si>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</si>
  <si>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</si>
  <si>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</si>
  <si>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</si>
  <si>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</si>
  <si>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</si>
  <si>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</si>
  <si>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</si>
  <si>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</si>
  <si>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</si>
  <si>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</si>
  <si>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</si>
  <si>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</si>
  <si>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</si>
  <si>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</si>
  <si>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</si>
  <si>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</si>
  <si>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</si>
  <si>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</si>
  <si>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</si>
  <si>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</si>
  <si>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</si>
  <si>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</si>
  <si>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</si>
  <si>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</si>
  <si>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</si>
  <si>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</si>
  <si>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</si>
  <si>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</si>
  <si>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</si>
  <si>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</si>
  <si>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</si>
  <si>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</si>
  <si>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</si>
  <si>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</si>
  <si>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</si>
  <si>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</si>
  <si>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</si>
  <si>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</si>
  <si>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</si>
  <si>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</si>
  <si>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</si>
  <si>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</si>
  <si>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</si>
  <si>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</si>
  <si>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</si>
  <si>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</si>
  <si>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</si>
  <si>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</si>
  <si>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</si>
  <si>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</si>
  <si>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</si>
  <si>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</si>
  <si>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</si>
  <si>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</si>
  <si>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</si>
  <si>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</si>
  <si>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</si>
  <si>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</si>
  <si>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</si>
  <si>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</si>
  <si>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</si>
  <si>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</si>
  <si>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</si>
  <si>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</si>
  <si>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</si>
  <si>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</si>
  <si>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</si>
  <si>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</si>
  <si>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</si>
  <si>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</si>
  <si>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</si>
  <si>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</si>
  <si>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</si>
  <si>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</si>
  <si>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</si>
  <si>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</si>
  <si>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</si>
  <si>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</si>
  <si>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</si>
  <si>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</si>
  <si>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</si>
  <si>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</si>
  <si>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</si>
  <si>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</si>
  <si>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</si>
  <si>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</si>
  <si>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</si>
  <si>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</si>
  <si>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</si>
  <si>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</si>
  <si>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</si>
  <si>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</si>
  <si>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</si>
  <si>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</si>
  <si>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</si>
  <si>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</si>
  <si>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</si>
  <si>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</si>
  <si>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</si>
  <si>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</si>
  <si>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</si>
  <si>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</si>
  <si>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</si>
  <si>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</si>
  <si>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</si>
  <si>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</si>
  <si>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</si>
  <si>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</si>
  <si>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</si>
  <si>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</si>
  <si>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</si>
  <si>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</si>
  <si>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</si>
  <si>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</si>
  <si>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</si>
  <si>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</si>
  <si>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</si>
  <si>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</si>
  <si>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</si>
  <si>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</si>
  <si>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</si>
  <si>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</si>
  <si>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</si>
  <si>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</si>
  <si>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</si>
  <si>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</si>
  <si>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</si>
  <si>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</si>
  <si>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</si>
  <si>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</si>
  <si>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</si>
  <si>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</si>
  <si>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</si>
  <si>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</si>
  <si>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</si>
  <si>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</si>
  <si>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</si>
  <si>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</si>
  <si>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</si>
  <si>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</si>
  <si>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</si>
  <si>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</si>
  <si>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</si>
  <si>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</si>
  <si>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</si>
  <si>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</si>
  <si>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</si>
  <si>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</si>
  <si>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</si>
  <si>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</si>
  <si>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</si>
  <si>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</si>
  <si>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</si>
  <si>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</si>
  <si>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</si>
  <si>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</si>
  <si>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</si>
  <si>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</si>
  <si>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</si>
  <si>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</si>
  <si>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</si>
  <si>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</si>
  <si>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</si>
  <si>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</si>
  <si>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</si>
  <si>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</si>
  <si>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</si>
  <si>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</si>
  <si>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</si>
  <si>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</si>
  <si>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</si>
  <si>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</si>
  <si>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</si>
  <si>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</si>
  <si>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</si>
  <si>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</si>
  <si>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</si>
  <si>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</si>
  <si>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</si>
  <si>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</si>
  <si>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</si>
  <si>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</si>
  <si>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</si>
  <si>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</si>
  <si>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</si>
  <si>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</si>
  <si>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</si>
  <si>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</si>
  <si>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</si>
  <si>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</si>
  <si>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</si>
  <si>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</si>
  <si>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</si>
  <si>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</si>
  <si>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</si>
  <si>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</si>
  <si>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</si>
  <si>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</si>
  <si>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</si>
  <si>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</si>
  <si>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</si>
  <si>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</si>
  <si>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</si>
  <si>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</si>
  <si>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</si>
  <si>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</si>
  <si>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</si>
  <si>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</si>
  <si>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</si>
  <si>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</si>
  <si>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</si>
  <si>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</si>
  <si>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</si>
  <si>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</si>
  <si>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</si>
  <si>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</si>
  <si>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</si>
  <si>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</si>
  <si>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</si>
  <si>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</si>
  <si>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</si>
  <si>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</si>
  <si>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</si>
  <si>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</si>
  <si>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</si>
  <si>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</si>
  <si>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</si>
  <si>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</si>
  <si>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</si>
  <si>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</si>
  <si>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</si>
  <si>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</si>
  <si>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</si>
  <si>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</si>
  <si>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</si>
  <si>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</si>
  <si>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</si>
  <si>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</si>
  <si>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</si>
  <si>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</si>
  <si>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</si>
  <si>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</si>
  <si>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</si>
  <si>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</si>
  <si>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</si>
  <si>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</si>
  <si>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</si>
  <si>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</si>
  <si>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</si>
  <si>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</si>
  <si>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</si>
  <si>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</si>
  <si>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</si>
  <si>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</si>
  <si>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</si>
  <si>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</si>
  <si>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</si>
  <si>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</si>
  <si>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</si>
  <si>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</si>
  <si>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</si>
  <si>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</si>
  <si>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</si>
  <si>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</si>
  <si>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</si>
  <si>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</si>
  <si>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</si>
  <si>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</si>
  <si>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</si>
  <si>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</si>
  <si>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</si>
  <si>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</si>
  <si>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</si>
  <si>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</si>
  <si>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</si>
  <si>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</si>
  <si>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</si>
  <si>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</si>
  <si>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</si>
  <si>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</si>
  <si>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</si>
  <si>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</si>
  <si>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</si>
  <si>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</si>
  <si>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</si>
  <si>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</si>
  <si>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</si>
  <si>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</si>
  <si>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</si>
  <si>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</si>
  <si>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</si>
  <si>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</si>
  <si>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</si>
  <si>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</si>
  <si>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</si>
  <si>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</si>
  <si>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</si>
  <si>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</si>
  <si>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</si>
  <si>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</si>
  <si>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</si>
  <si>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</si>
  <si>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</si>
  <si>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</si>
  <si>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</si>
  <si>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</si>
  <si>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</si>
  <si>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</si>
  <si>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</si>
  <si>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</si>
  <si>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</si>
  <si>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</si>
  <si>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</si>
  <si>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</si>
  <si>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</si>
  <si>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</si>
  <si>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</si>
  <si>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</si>
  <si>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</si>
  <si>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</si>
  <si>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</si>
  <si>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</si>
  <si>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</si>
  <si>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</si>
  <si>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</si>
  <si>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</si>
  <si>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</si>
  <si>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</si>
  <si>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</si>
  <si>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</si>
  <si>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</si>
  <si>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</si>
  <si>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</si>
  <si>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</si>
  <si>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</si>
  <si>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</si>
  <si>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</si>
  <si>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</si>
  <si>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</si>
  <si>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</si>
  <si>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</si>
  <si>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</si>
  <si>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</si>
  <si>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</si>
  <si>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</si>
  <si>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</si>
  <si>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</si>
  <si>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</si>
  <si>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</si>
  <si>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</si>
  <si>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</si>
  <si>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</si>
  <si>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</si>
  <si>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</si>
  <si>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</si>
  <si>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</si>
  <si>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</si>
  <si>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</si>
  <si>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</si>
  <si>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</si>
  <si>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</si>
  <si>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</si>
  <si>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</si>
  <si>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</si>
  <si>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</si>
  <si>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</si>
  <si>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</si>
  <si>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</si>
  <si>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</si>
  <si>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</si>
  <si>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</si>
  <si>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</si>
  <si>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</si>
  <si>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</si>
  <si>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</si>
  <si>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</si>
  <si>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</si>
  <si>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</si>
  <si>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</si>
  <si>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</si>
  <si>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</si>
  <si>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</si>
  <si>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</si>
  <si>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</si>
  <si>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</si>
  <si>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</si>
  <si>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</si>
  <si>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</si>
  <si>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</si>
  <si>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</si>
  <si>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</si>
  <si>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</si>
  <si>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</si>
  <si>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</si>
  <si>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</si>
  <si>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</si>
  <si>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</si>
  <si>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</si>
  <si>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</si>
  <si>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</si>
  <si>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</si>
  <si>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</si>
  <si>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</si>
  <si>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</si>
  <si>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</si>
  <si>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</si>
  <si>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</si>
  <si>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</si>
  <si>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</si>
  <si>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</si>
  <si>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</si>
  <si>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</si>
  <si>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</si>
  <si>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</si>
  <si>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</si>
  <si>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</si>
  <si>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</si>
  <si>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</si>
  <si>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</si>
  <si>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</si>
  <si>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</si>
  <si>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</si>
  <si>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</si>
  <si>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</si>
  <si>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</si>
  <si>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</si>
  <si>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</si>
  <si>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</si>
  <si>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</si>
  <si>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</si>
  <si>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</si>
  <si>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</si>
  <si>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</si>
  <si>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</si>
  <si>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</si>
  <si>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</si>
  <si>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</si>
  <si>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</si>
  <si>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</si>
  <si>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</si>
  <si>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</si>
  <si>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</si>
  <si>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</si>
  <si>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</si>
  <si>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</si>
  <si>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</si>
  <si>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</si>
  <si>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</si>
  <si>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</si>
  <si>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</si>
  <si>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</si>
  <si>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</si>
  <si>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</si>
  <si>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</si>
  <si>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</si>
  <si>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</si>
  <si>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</si>
  <si>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</si>
  <si>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</si>
  <si>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</si>
  <si>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</si>
  <si>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</si>
  <si>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</si>
  <si>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</si>
  <si>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</si>
  <si>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</si>
  <si>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</si>
  <si>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</si>
  <si>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</si>
  <si>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</si>
  <si>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</si>
  <si>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</si>
  <si>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</si>
  <si>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</si>
  <si>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</si>
  <si>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</si>
  <si>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</si>
  <si>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</si>
  <si>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</si>
  <si>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</si>
  <si>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</si>
  <si>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</si>
  <si>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</si>
  <si>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</si>
  <si>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</si>
  <si>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</si>
  <si>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</si>
  <si>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</si>
  <si>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</si>
  <si>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</si>
  <si>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</si>
  <si>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</si>
  <si>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</si>
  <si>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</si>
  <si>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</si>
  <si>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</si>
  <si>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</si>
  <si>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</si>
  <si>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</si>
  <si>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</si>
  <si>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</si>
  <si>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</si>
  <si>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</si>
  <si>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</si>
  <si>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</si>
  <si>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</si>
  <si>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</si>
  <si>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</si>
  <si>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</si>
  <si>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</si>
  <si>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</si>
  <si>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</si>
  <si>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</si>
  <si>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</si>
  <si>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</si>
  <si>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</si>
  <si>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</si>
  <si>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</si>
  <si>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</si>
  <si>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</si>
  <si>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</si>
  <si>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</si>
  <si>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</si>
  <si>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</si>
  <si>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</si>
  <si>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</si>
  <si>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</si>
  <si>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</si>
  <si>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</si>
  <si>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</si>
  <si>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</si>
  <si>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</si>
  <si>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</si>
  <si>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</si>
  <si>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</si>
  <si>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</si>
  <si>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</si>
  <si>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</si>
  <si>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</si>
  <si>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</si>
  <si>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</si>
  <si>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</si>
  <si>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</si>
  <si>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</si>
  <si>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</si>
  <si>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</si>
  <si>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</si>
  <si>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</si>
  <si>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</si>
  <si>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</si>
  <si>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</si>
  <si>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</si>
  <si>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</si>
  <si>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</si>
  <si>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</si>
  <si>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</si>
  <si>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</si>
  <si>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</si>
  <si>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</si>
  <si>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</si>
  <si>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</si>
  <si>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</si>
  <si>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</si>
  <si>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</si>
  <si>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</si>
  <si>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</si>
  <si>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</si>
  <si>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</si>
  <si>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</si>
  <si>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</si>
  <si>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</si>
  <si>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</si>
  <si>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</si>
  <si>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</si>
  <si>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</si>
  <si>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</si>
  <si>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</si>
  <si>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</si>
  <si>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</si>
  <si>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</si>
  <si>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</si>
  <si>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</si>
  <si>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</si>
  <si>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</si>
  <si>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</si>
  <si>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</si>
  <si>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</si>
  <si>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</si>
  <si>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</si>
  <si>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</si>
  <si>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</si>
  <si>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</si>
  <si>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</si>
  <si>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</si>
  <si>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</si>
  <si>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</si>
  <si>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</si>
  <si>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</si>
  <si>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</si>
  <si>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</si>
  <si>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</si>
  <si>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</si>
  <si>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</si>
  <si>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</si>
  <si>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</si>
  <si>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</si>
  <si>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</si>
  <si>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</si>
  <si>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</si>
  <si>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</si>
  <si>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</si>
  <si>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</si>
  <si>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</si>
  <si>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</si>
  <si>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</si>
  <si>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</si>
  <si>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</si>
  <si>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</si>
  <si>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</si>
  <si>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</si>
  <si>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</si>
  <si>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</si>
  <si>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</si>
  <si>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</si>
  <si>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</si>
  <si>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</si>
  <si>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</si>
  <si>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</si>
  <si>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</si>
  <si>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</si>
  <si>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</si>
  <si>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</si>
  <si>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</si>
  <si>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</si>
  <si>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</si>
  <si>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</si>
  <si>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</si>
  <si>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</si>
  <si>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</si>
  <si>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</si>
  <si>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</si>
  <si>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</si>
  <si>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</si>
  <si>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</si>
  <si>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</si>
  <si>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</si>
  <si>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</si>
  <si>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</si>
  <si>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</si>
  <si>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</si>
  <si>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</si>
  <si>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</si>
  <si>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</si>
  <si>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</si>
  <si>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</si>
  <si>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</si>
  <si>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</si>
  <si>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</si>
  <si>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</si>
  <si>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</si>
  <si>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</si>
  <si>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</si>
  <si>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</si>
  <si>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</si>
  <si>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</si>
  <si>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</si>
  <si>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</si>
  <si>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</si>
  <si>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</si>
  <si>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</si>
  <si>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</si>
  <si>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</si>
  <si>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</si>
  <si>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</si>
  <si>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</si>
  <si>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</si>
  <si>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</si>
  <si>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</si>
  <si>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</si>
  <si>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</si>
  <si>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</si>
  <si>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</si>
  <si>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</si>
  <si>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</si>
  <si>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</si>
  <si>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</si>
  <si>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</si>
  <si>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</si>
  <si>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</si>
  <si>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</si>
  <si>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</si>
  <si>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</si>
  <si>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</si>
  <si>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</si>
  <si>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</si>
  <si>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</si>
  <si>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</si>
  <si>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</si>
  <si>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</si>
  <si>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</si>
  <si>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</si>
  <si>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</si>
  <si>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</si>
  <si>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</si>
  <si>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</si>
  <si>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</si>
  <si>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</si>
  <si>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</si>
  <si>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</si>
  <si>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</si>
  <si>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</si>
  <si>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</si>
  <si>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</si>
  <si>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</si>
  <si>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</si>
  <si>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</si>
  <si>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</si>
  <si>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</si>
  <si>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</si>
  <si>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</si>
  <si>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</si>
  <si>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</si>
  <si>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</si>
  <si>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</si>
  <si>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</si>
  <si>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</si>
  <si>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</si>
  <si>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</si>
  <si>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</si>
  <si>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</si>
  <si>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</si>
  <si>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</si>
  <si>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</si>
  <si>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</si>
  <si>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</si>
  <si>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</si>
  <si>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</si>
  <si>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</si>
  <si>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</si>
  <si>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</si>
  <si>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</si>
  <si>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</si>
  <si>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</si>
  <si>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</si>
  <si>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</si>
  <si>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</si>
  <si>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</si>
  <si>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</si>
  <si>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</si>
  <si>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</si>
  <si>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</si>
  <si>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</si>
  <si>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</si>
  <si>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</si>
  <si>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</si>
  <si>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</si>
  <si>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</si>
  <si>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</si>
  <si>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</si>
  <si>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</si>
  <si>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</si>
  <si>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</si>
  <si>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</si>
  <si>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</si>
  <si>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</si>
  <si>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</si>
  <si>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</si>
  <si>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</si>
  <si>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</si>
  <si>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</si>
  <si>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</si>
  <si>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</si>
  <si>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</si>
  <si>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</si>
  <si>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</si>
  <si>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</si>
  <si>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</si>
  <si>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</si>
  <si>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</si>
  <si>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</si>
  <si>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</si>
  <si>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</si>
  <si>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</si>
  <si>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</si>
  <si>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</si>
  <si>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</si>
  <si>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</si>
  <si>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</si>
  <si>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</si>
  <si>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</si>
  <si>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</si>
  <si>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</si>
  <si>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</si>
  <si>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</si>
  <si>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</si>
  <si>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</si>
  <si>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</si>
  <si>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</si>
  <si>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</si>
  <si>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</si>
  <si>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</si>
  <si>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</si>
  <si>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</si>
  <si>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</si>
  <si>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</si>
  <si>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</si>
  <si>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</si>
  <si>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</si>
  <si>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</si>
  <si>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</si>
  <si>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</si>
  <si>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</si>
  <si>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</si>
  <si>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</si>
  <si>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</si>
  <si>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</si>
  <si>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</si>
  <si>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</si>
  <si>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</si>
  <si>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</si>
  <si>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</si>
  <si>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</si>
  <si>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</si>
  <si>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</si>
  <si>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</si>
  <si>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</si>
  <si>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</si>
  <si>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</si>
  <si>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</si>
  <si>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</si>
  <si>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</si>
  <si>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</si>
  <si>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</si>
  <si>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</si>
  <si>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</si>
  <si>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</si>
  <si>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</si>
  <si>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</si>
  <si>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</si>
  <si>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</si>
  <si>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</si>
  <si>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</si>
  <si>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</si>
  <si>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</si>
  <si>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</si>
  <si>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</si>
  <si>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</si>
  <si>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</si>
  <si>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</si>
  <si>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</si>
  <si>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</si>
  <si>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</si>
  <si>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</si>
  <si>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</si>
  <si>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</si>
  <si>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</si>
  <si>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</si>
  <si>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</si>
  <si>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</si>
  <si>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</si>
  <si>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</si>
  <si>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</si>
  <si>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</si>
  <si>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</si>
  <si>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</si>
  <si>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</si>
  <si>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</si>
  <si>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</si>
  <si>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</si>
  <si>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</si>
  <si>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</si>
  <si>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</si>
  <si>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</si>
  <si>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</si>
  <si>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</si>
  <si>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</si>
  <si>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</si>
  <si>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</si>
  <si>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</si>
  <si>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</si>
  <si>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</si>
  <si>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</si>
  <si>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</si>
  <si>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</si>
  <si>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</si>
  <si>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</si>
  <si>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</si>
  <si>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</si>
  <si>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</si>
  <si>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</si>
  <si>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</si>
  <si>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</si>
  <si>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</si>
  <si>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</si>
  <si>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</si>
  <si>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</si>
  <si>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</si>
  <si>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</si>
  <si>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</si>
  <si>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</si>
  <si>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</si>
  <si>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</si>
  <si>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</si>
  <si>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</si>
  <si>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</si>
  <si>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</si>
  <si>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</si>
  <si>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</si>
  <si>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</si>
  <si>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</si>
  <si>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</si>
  <si>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</si>
  <si>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</si>
  <si>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</si>
  <si>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</si>
  <si>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</si>
  <si>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</si>
  <si>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</si>
  <si>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</si>
  <si>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</si>
  <si>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</si>
  <si>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</si>
  <si>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</si>
  <si>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</si>
  <si>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</si>
  <si>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</si>
  <si>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</si>
  <si>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</si>
  <si>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</si>
  <si>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</si>
  <si>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</si>
  <si>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</si>
  <si>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</si>
  <si>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</si>
  <si>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</si>
  <si>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</si>
  <si>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</si>
  <si>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</si>
  <si>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</si>
  <si>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</si>
  <si>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</si>
  <si>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</si>
  <si>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</si>
  <si>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</si>
  <si>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</si>
  <si>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</si>
  <si>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</si>
  <si>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</si>
  <si>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</si>
  <si>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</si>
  <si>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</si>
  <si>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</si>
  <si>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</si>
  <si>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</si>
  <si>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</si>
  <si>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</si>
  <si>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</si>
  <si>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</si>
  <si>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</si>
  <si>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</si>
  <si>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</si>
  <si>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</si>
  <si>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</si>
  <si>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</si>
  <si>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</si>
  <si>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</si>
  <si>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</si>
  <si>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</si>
  <si>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</si>
  <si>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</si>
  <si>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</si>
  <si>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</si>
  <si>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</si>
  <si>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</si>
  <si>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</si>
  <si>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</si>
  <si>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</si>
  <si>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</si>
  <si>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</si>
  <si>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</si>
  <si>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</si>
  <si>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</si>
  <si>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</si>
  <si>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</si>
  <si>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</si>
  <si>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</si>
  <si>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</si>
  <si>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</si>
  <si>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</si>
  <si>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</si>
  <si>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</si>
  <si>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</si>
  <si>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</si>
  <si>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</si>
  <si>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</si>
  <si>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</si>
  <si>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</si>
  <si>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</si>
  <si>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</si>
  <si>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</si>
  <si>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</si>
  <si>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</si>
  <si>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</si>
  <si>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</si>
  <si>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</si>
  <si>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</si>
  <si>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</si>
  <si>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</si>
  <si>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</si>
  <si>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</si>
  <si>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</si>
  <si>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</si>
  <si>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</si>
  <si>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</si>
  <si>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</si>
  <si>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</si>
  <si>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</si>
  <si>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</si>
  <si>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</si>
  <si>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</si>
  <si>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</si>
  <si>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</si>
  <si>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</si>
  <si>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</si>
  <si>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</si>
  <si>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</si>
  <si>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</si>
  <si>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</si>
  <si>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</si>
  <si>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</si>
  <si>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</si>
  <si>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</si>
  <si>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</si>
  <si>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</si>
  <si>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</si>
  <si>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</si>
  <si>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</si>
  <si>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</si>
  <si>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</si>
  <si>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</si>
  <si>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</si>
  <si>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</si>
  <si>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</si>
  <si>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</si>
  <si>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</si>
  <si>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</si>
  <si>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</si>
  <si>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</si>
  <si>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</si>
  <si>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</si>
  <si>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</si>
  <si>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</si>
  <si>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</si>
  <si>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</si>
  <si>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</si>
  <si>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</si>
  <si>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</si>
  <si>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</si>
  <si>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</si>
  <si>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</si>
  <si>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</si>
  <si>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</si>
  <si>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</si>
  <si>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</si>
  <si>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</si>
  <si>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</si>
  <si>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</si>
  <si>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</si>
  <si>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</si>
  <si>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</si>
  <si>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</si>
  <si>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</si>
  <si>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</si>
  <si>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</si>
  <si>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</si>
  <si>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</si>
  <si>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</si>
  <si>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</si>
  <si>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</si>
  <si>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</si>
  <si>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</si>
  <si>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</si>
  <si>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</si>
  <si>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</si>
  <si>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</si>
  <si>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</si>
  <si>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</si>
  <si>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</si>
  <si>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</si>
  <si>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</si>
  <si>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</si>
  <si>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</si>
  <si>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</si>
  <si>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</si>
  <si>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</si>
  <si>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</si>
  <si>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</si>
  <si>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</si>
  <si>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</si>
  <si>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</si>
  <si>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</si>
  <si>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</si>
  <si>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</si>
  <si>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</si>
  <si>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</si>
  <si>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</si>
  <si>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</si>
  <si>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</si>
  <si>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</si>
  <si>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</si>
  <si>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</si>
  <si>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</si>
  <si>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</si>
  <si>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</si>
  <si>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</si>
  <si>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</si>
  <si>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</si>
  <si>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</si>
  <si>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</si>
  <si>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</si>
  <si>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</si>
  <si>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</si>
  <si>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</si>
  <si>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</si>
  <si>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</si>
  <si>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</si>
  <si>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</si>
  <si>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</si>
  <si>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</si>
  <si>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</si>
  <si>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</si>
  <si>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</si>
  <si>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</si>
  <si>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</si>
  <si>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</si>
  <si>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</si>
  <si>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</si>
  <si>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</si>
  <si>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</si>
  <si>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</si>
  <si>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</si>
  <si>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</si>
  <si>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</si>
  <si>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</si>
  <si>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</si>
  <si>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</si>
  <si>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</si>
  <si>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</si>
  <si>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</si>
  <si>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</si>
  <si>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</si>
  <si>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</si>
  <si>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</si>
  <si>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</si>
  <si>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</si>
  <si>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</si>
  <si>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</si>
  <si>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</si>
  <si>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</si>
  <si>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</si>
  <si>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</si>
  <si>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</si>
  <si>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</si>
  <si>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</si>
  <si>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</si>
  <si>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</si>
  <si>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</si>
  <si>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</si>
  <si>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</si>
  <si>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</si>
  <si>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</si>
  <si>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</si>
  <si>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</si>
  <si>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</si>
  <si>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</si>
  <si>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</si>
  <si>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</si>
  <si>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</si>
  <si>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</si>
  <si>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</si>
  <si>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</si>
  <si>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</si>
  <si>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</si>
  <si>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</si>
  <si>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</si>
  <si>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</si>
  <si>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</si>
  <si>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</si>
  <si>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</si>
  <si>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</si>
  <si>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</si>
  <si>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</si>
  <si>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</si>
  <si>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</si>
  <si>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</si>
  <si>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</si>
  <si>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</si>
  <si>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</si>
  <si>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</si>
  <si>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</si>
  <si>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</si>
  <si>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</si>
  <si>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</si>
  <si>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</si>
  <si>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</si>
  <si>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</si>
  <si>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</si>
  <si>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</si>
  <si>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</si>
  <si>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</si>
  <si>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</si>
  <si>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</si>
  <si>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</si>
  <si>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</si>
  <si>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</si>
  <si>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</si>
  <si>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</si>
  <si>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</si>
  <si>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</si>
  <si>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</si>
  <si>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</si>
  <si>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</si>
  <si>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</si>
  <si>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</si>
  <si>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</si>
  <si>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</si>
  <si>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</si>
  <si>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</si>
  <si>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</si>
  <si>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</si>
  <si>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</si>
  <si>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</si>
  <si>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</si>
  <si>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</si>
  <si>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</si>
  <si>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</si>
  <si>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</si>
  <si>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</si>
  <si>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</si>
  <si>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</si>
  <si>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</si>
  <si>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</si>
  <si>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</si>
  <si>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</si>
  <si>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</si>
  <si>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</si>
  <si>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</si>
  <si>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</si>
  <si>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</si>
  <si>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</si>
  <si>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</si>
  <si>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</si>
  <si>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</si>
  <si>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</si>
  <si>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</si>
  <si>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</si>
  <si>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</si>
  <si>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</si>
  <si>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</si>
  <si>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</si>
  <si>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</si>
  <si>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</si>
  <si>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</si>
  <si>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</si>
  <si>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</si>
  <si>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</si>
  <si>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</si>
  <si>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</si>
  <si>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</si>
  <si>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</si>
  <si>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</si>
  <si>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</si>
  <si>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</si>
  <si>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</si>
  <si>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</si>
  <si>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</si>
  <si>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</si>
  <si>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</si>
  <si>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</si>
  <si>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</si>
  <si>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</si>
  <si>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</si>
  <si>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</si>
  <si>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</si>
  <si>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</si>
  <si>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</si>
  <si>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</si>
  <si>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</si>
  <si>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</si>
  <si>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</si>
  <si>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</si>
  <si>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</si>
  <si>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</si>
  <si>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</si>
  <si>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</si>
  <si>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</si>
  <si>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</si>
  <si>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</si>
  <si>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</si>
  <si>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</si>
  <si>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</si>
  <si>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</si>
  <si>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</si>
  <si>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</si>
  <si>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</si>
  <si>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</si>
  <si>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</si>
  <si>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</si>
  <si>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</si>
  <si>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</si>
  <si>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</si>
  <si>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</si>
  <si>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</si>
  <si>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</si>
  <si>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</si>
  <si>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</si>
  <si>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</si>
  <si>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</si>
  <si>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</si>
  <si>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</si>
  <si>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</si>
  <si>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</si>
  <si>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</si>
  <si>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</si>
  <si>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</si>
  <si>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</si>
  <si>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</si>
  <si>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</si>
  <si>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</si>
  <si>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</si>
  <si>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</si>
  <si>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</si>
  <si>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</si>
  <si>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</si>
  <si>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</si>
  <si>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</si>
  <si>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</si>
  <si>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</si>
  <si>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</si>
  <si>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</si>
  <si>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</si>
  <si>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</si>
  <si>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</si>
  <si>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</si>
  <si>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</si>
  <si>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</si>
  <si>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</si>
  <si>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</si>
  <si>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</si>
  <si>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</si>
  <si>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</si>
  <si>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</si>
  <si>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</si>
  <si>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</si>
  <si>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</si>
  <si>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</si>
  <si>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</si>
  <si>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</si>
  <si>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</si>
  <si>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</si>
  <si>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</si>
  <si>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</si>
  <si>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</si>
  <si>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</si>
  <si>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</si>
  <si>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</si>
  <si>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</si>
  <si>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</si>
  <si>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</si>
  <si>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</si>
  <si>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</si>
  <si>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</si>
  <si>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</si>
  <si>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</si>
  <si>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</si>
  <si>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</si>
  <si>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</si>
  <si>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</si>
  <si>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</si>
  <si>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</si>
  <si>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</si>
  <si>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</si>
  <si>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</si>
  <si>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</si>
  <si>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</si>
  <si>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</si>
  <si>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</si>
  <si>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</si>
  <si>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</si>
  <si>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</si>
  <si>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</si>
  <si>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</si>
  <si>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</si>
  <si>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</si>
  <si>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</si>
  <si>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</si>
  <si>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</si>
  <si>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</si>
  <si>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</si>
  <si>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</si>
  <si>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</si>
  <si>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</si>
  <si>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</si>
  <si>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</si>
  <si>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</si>
  <si>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</si>
  <si>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</si>
  <si>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</si>
  <si>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</si>
  <si>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</si>
  <si>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</si>
  <si>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</si>
  <si>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</si>
  <si>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</si>
  <si>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</si>
  <si>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</si>
  <si>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</si>
  <si>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</si>
  <si>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</si>
  <si>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</si>
  <si>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</si>
  <si>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</si>
  <si>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</si>
  <si>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</si>
  <si>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</si>
  <si>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</si>
  <si>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</si>
  <si>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</si>
  <si>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</si>
  <si>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</si>
  <si>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</si>
  <si>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</si>
  <si>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</si>
  <si>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</si>
  <si>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</si>
  <si>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</si>
  <si>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</si>
  <si>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</si>
  <si>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</si>
  <si>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</si>
  <si>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</si>
  <si>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</si>
  <si>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</si>
  <si>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</si>
  <si>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</si>
  <si>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</si>
  <si>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</si>
  <si>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</si>
  <si>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</si>
  <si>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</si>
  <si>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</si>
  <si>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</si>
  <si>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</si>
  <si>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</si>
  <si>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</si>
  <si>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</si>
  <si>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</si>
  <si>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</si>
  <si>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</si>
  <si>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</si>
  <si>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</si>
  <si>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</si>
  <si>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</si>
  <si>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</si>
  <si>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</si>
  <si>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</si>
  <si>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</si>
  <si>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</si>
  <si>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</si>
  <si>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</si>
  <si>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</si>
  <si>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</si>
  <si>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</si>
  <si>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</si>
  <si>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</si>
  <si>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</si>
  <si>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</si>
  <si>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</si>
  <si>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</si>
  <si>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</si>
  <si>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</si>
  <si>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</si>
  <si>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</si>
  <si>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</si>
  <si>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</si>
  <si>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</si>
  <si>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</si>
  <si>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</si>
  <si>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</si>
  <si>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</si>
  <si>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</si>
  <si>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</si>
  <si>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</si>
  <si>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</si>
  <si>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</si>
  <si>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</si>
  <si>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</si>
  <si>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</si>
  <si>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</si>
  <si>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</si>
  <si>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</si>
  <si>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</si>
  <si>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</si>
  <si>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</si>
  <si>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</si>
  <si>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</si>
  <si>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</si>
  <si>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</si>
  <si>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</si>
  <si>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</si>
  <si>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</si>
  <si>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</si>
  <si>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</si>
  <si>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</si>
  <si>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</si>
  <si>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</si>
  <si>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</si>
  <si>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</si>
  <si>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</si>
  <si>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</si>
  <si>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</si>
  <si>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</si>
  <si>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</si>
  <si>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</si>
  <si>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</si>
  <si>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</si>
  <si>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</si>
  <si>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</si>
  <si>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</si>
  <si>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</si>
  <si>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</si>
  <si>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</si>
  <si>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</si>
  <si>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</si>
  <si>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</si>
  <si>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</si>
  <si>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</si>
  <si>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</si>
  <si>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</si>
  <si>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</si>
  <si>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</si>
  <si>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</si>
  <si>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</si>
  <si>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</si>
  <si>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</si>
  <si>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</si>
  <si>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</si>
  <si>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</si>
  <si>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</si>
  <si>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</si>
  <si>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</si>
  <si>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</si>
  <si>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</si>
  <si>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</si>
  <si>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</si>
  <si>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</si>
  <si>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</si>
  <si>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</si>
  <si>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</si>
  <si>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</si>
  <si>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</si>
  <si>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</si>
  <si>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</si>
  <si>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</si>
  <si>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</si>
  <si>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</si>
  <si>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</si>
  <si>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</si>
  <si>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</si>
  <si>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</si>
  <si>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</si>
  <si>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</si>
  <si>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</si>
  <si>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</si>
  <si>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</si>
  <si>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</si>
  <si>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</si>
  <si>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</si>
  <si>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</si>
  <si>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</si>
  <si>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</si>
  <si>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</si>
  <si>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</si>
  <si>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DuplicateCheck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</si>
</sst>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E66-1405-4BC7-ABC8-9347649382B6}">
  <dimension ref="A1:N1201"/>
  <sheetViews>
    <sheetView tabSelected="1" topLeftCell="D1" workbookViewId="0">
      <selection activeCell="O1" sqref="O1:O1048576"/>
    </sheetView>
  </sheetViews>
  <sheetFormatPr defaultRowHeight="14.5" x14ac:dyDescent="0.35"/>
  <cols>
    <col min="15" max="15" width="71.269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J1" workbookViewId="0">
      <selection activeCell="O1" sqref="O1:O1048576"/>
    </sheetView>
  </sheetViews>
  <sheetFormatPr defaultColWidth="12.453125" defaultRowHeight="14.5" x14ac:dyDescent="0.35"/>
  <cols>
    <col min="2" max="2" width="12.453125" style="4"/>
    <col min="7" max="7" width="17.08984375" customWidth="1"/>
    <col min="8" max="8" width="15.453125" customWidth="1"/>
    <col min="10" max="10" width="15.90625" customWidth="1"/>
    <col min="13" max="13" width="14" customWidth="1"/>
    <col min="15" max="15" width="71.26953125" customWidth="1"/>
  </cols>
  <sheetData>
    <row r="1" spans="1:16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4284</v>
      </c>
      <c r="P1" s="6"/>
    </row>
    <row r="2" spans="1:16" x14ac:dyDescent="0.35">
      <c r="A2" t="s">
        <v>14</v>
      </c>
      <c r="B2" s="4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t="str">
        <f>A2&amp;B2&amp;C2&amp;D2&amp;F2&amp;G2&amp;H2&amp;I2&amp;J2</f>
        <v>ORD20000044930C72649Monitor570.62928 Main StDebit CardShippedTRK37947903</v>
      </c>
    </row>
    <row r="3" spans="1:16" x14ac:dyDescent="0.35">
      <c r="A3" t="s">
        <v>15</v>
      </c>
      <c r="B3" s="4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t="str">
        <f t="shared" ref="O3:O66" si="0">A3&amp;B3&amp;C3&amp;D3&amp;F3&amp;G3&amp;H3&amp;I3&amp;J3</f>
        <v>ORD20000145527C75739Phone151.35823 Main StOnlineShippedTRK91186779</v>
      </c>
    </row>
    <row r="4" spans="1:16" x14ac:dyDescent="0.35">
      <c r="A4" t="s">
        <v>16</v>
      </c>
      <c r="B4" s="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t="str">
        <f t="shared" si="0"/>
        <v>ORD20000245349C81728Tablet550.68512 Main StCredit CardCancelledTRK42903982</v>
      </c>
    </row>
    <row r="5" spans="1:16" x14ac:dyDescent="0.35">
      <c r="A5" t="s">
        <v>17</v>
      </c>
      <c r="B5" s="4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t="str">
        <f t="shared" si="0"/>
        <v>ORD20000345214C33540Chair273.19275 Main StDebit CardReturnedTRK62788070</v>
      </c>
    </row>
    <row r="6" spans="1:16" x14ac:dyDescent="0.35">
      <c r="A6" t="s">
        <v>18</v>
      </c>
      <c r="B6" s="4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t="str">
        <f t="shared" si="0"/>
        <v>ORD20000445785C81840Printer626.01668 Main StOnlineDeliveredTRK29241424</v>
      </c>
    </row>
    <row r="7" spans="1:16" x14ac:dyDescent="0.35">
      <c r="A7" t="s">
        <v>19</v>
      </c>
      <c r="B7" s="4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t="str">
        <f t="shared" si="0"/>
        <v>ORD20000545222C37249Phone245.86934 Main StCredit CardShippedTRK72976927</v>
      </c>
    </row>
    <row r="8" spans="1:16" x14ac:dyDescent="0.35">
      <c r="A8" t="s">
        <v>20</v>
      </c>
      <c r="B8" s="4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t="str">
        <f t="shared" si="0"/>
        <v>ORD20000645825C83492Laptop664.42986 Main StGift CardReturnedTRK96417362</v>
      </c>
    </row>
    <row r="9" spans="1:16" x14ac:dyDescent="0.35">
      <c r="A9" t="s">
        <v>21</v>
      </c>
      <c r="B9" s="4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t="str">
        <f t="shared" si="0"/>
        <v>ORD20000745058C41460Monitor149.55706 Main StCashShippedTRK78809193</v>
      </c>
    </row>
    <row r="10" spans="1:16" x14ac:dyDescent="0.35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 t="str">
        <f t="shared" si="0"/>
        <v>ORD20000845749C26817Phone134.28904 Main StGift CardCancelledTRK61042692</v>
      </c>
    </row>
    <row r="11" spans="1:16" x14ac:dyDescent="0.35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t="str">
        <f t="shared" si="0"/>
        <v>ORD20000945251C31946Desk509.38102 Main StCredit CardShippedTRK33478363</v>
      </c>
    </row>
    <row r="12" spans="1:16" x14ac:dyDescent="0.35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t="str">
        <f t="shared" si="0"/>
        <v>ORD20001045289C43443Tablet625.97333 Main StCredit CardReturnedTRK98859248</v>
      </c>
    </row>
    <row r="13" spans="1:16" x14ac:dyDescent="0.35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t="str">
        <f t="shared" si="0"/>
        <v>ORD20001145339C93861Monitor49.14831 Main StOnlineReturnedTRK48234646</v>
      </c>
    </row>
    <row r="14" spans="1:16" x14ac:dyDescent="0.35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t="str">
        <f t="shared" si="0"/>
        <v>ORD20001245580C38785Monitor180.5179 Main StDebit CardPendingTRK20419991</v>
      </c>
    </row>
    <row r="15" spans="1:16" x14ac:dyDescent="0.35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t="str">
        <f t="shared" si="0"/>
        <v>ORD20001345168C88348Laptop201.49903 Main StCredit CardReturnedTRK81913874</v>
      </c>
    </row>
    <row r="16" spans="1:16" x14ac:dyDescent="0.35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t="str">
        <f t="shared" si="0"/>
        <v>ORD20001445012C98474Tablet393.33980 Main StDebit CardPendingTRK79186539</v>
      </c>
    </row>
    <row r="17" spans="1:15" x14ac:dyDescent="0.35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 t="str">
        <f t="shared" si="0"/>
        <v>ORD20001545124C39416Printer473.96942 Main StCashDeliveredTRK54930938</v>
      </c>
    </row>
    <row r="18" spans="1:15" x14ac:dyDescent="0.35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t="str">
        <f t="shared" si="0"/>
        <v>ORD20001644950C28976Printer533.81914 Main StCredit CardPendingTRK13194259</v>
      </c>
    </row>
    <row r="19" spans="1:15" x14ac:dyDescent="0.35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 t="str">
        <f t="shared" si="0"/>
        <v>ORD20001745353C60672Tablet423.4382 Main StDebit CardShippedTRK11972116</v>
      </c>
    </row>
    <row r="20" spans="1:15" x14ac:dyDescent="0.35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t="str">
        <f t="shared" si="0"/>
        <v>ORD20001845742C84329Desk431.44891 Main StGift CardPendingTRK65191045</v>
      </c>
    </row>
    <row r="21" spans="1:15" x14ac:dyDescent="0.35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t="str">
        <f t="shared" si="0"/>
        <v>ORD20001944949C14552Monitor224273 Main StCashReturnedTRK59101365</v>
      </c>
    </row>
    <row r="22" spans="1:15" x14ac:dyDescent="0.35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t="str">
        <f t="shared" si="0"/>
        <v>ORD20002045054C54829Chair62.51587 Main StCashPendingTRK16718651</v>
      </c>
    </row>
    <row r="23" spans="1:15" x14ac:dyDescent="0.35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 t="str">
        <f t="shared" si="0"/>
        <v>ORD20002145613C99023Monitor342.95569 Main StCashDeliveredTRK52646983</v>
      </c>
    </row>
    <row r="24" spans="1:15" x14ac:dyDescent="0.35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t="str">
        <f t="shared" si="0"/>
        <v>ORD20002244955C34416Monitor49.62633 Main StOnlinePendingTRK75937350</v>
      </c>
    </row>
    <row r="25" spans="1:15" x14ac:dyDescent="0.35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t="str">
        <f t="shared" si="0"/>
        <v>ORD20002345756C42372Phone273.25755 Main StDebit CardCancelledTRK36168083</v>
      </c>
    </row>
    <row r="26" spans="1:15" x14ac:dyDescent="0.35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t="str">
        <f t="shared" si="0"/>
        <v>ORD20002445595C17470Laptop230.95956 Main StOnlineDeliveredTRK28775057</v>
      </c>
    </row>
    <row r="27" spans="1:15" x14ac:dyDescent="0.35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t="str">
        <f t="shared" si="0"/>
        <v>ORD20002545497C42577Monitor399.98709 Main StDebit CardDeliveredTRK69423327</v>
      </c>
    </row>
    <row r="28" spans="1:15" x14ac:dyDescent="0.35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 t="str">
        <f t="shared" si="0"/>
        <v>ORD20002645357C21944Laptop59.55296 Main StOnlineDeliveredTRK80276812</v>
      </c>
    </row>
    <row r="29" spans="1:15" x14ac:dyDescent="0.35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t="str">
        <f t="shared" si="0"/>
        <v>ORD20002745344C97593Printer472.74881 Main StOnlineShippedTRK89117573</v>
      </c>
    </row>
    <row r="30" spans="1:15" x14ac:dyDescent="0.35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 t="str">
        <f t="shared" si="0"/>
        <v>ORD20002845251C59823Phone160.07568 Main StOnlinePendingTRK65895539</v>
      </c>
    </row>
    <row r="31" spans="1:15" x14ac:dyDescent="0.35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t="str">
        <f t="shared" si="0"/>
        <v>ORD20002945555C33260Desk423.53930 Main StCredit CardDeliveredTRK59744090</v>
      </c>
    </row>
    <row r="32" spans="1:15" x14ac:dyDescent="0.35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t="str">
        <f t="shared" si="0"/>
        <v>ORD20003045738C44267Monitor426.7895 Main StOnlinePendingTRK54751444</v>
      </c>
    </row>
    <row r="33" spans="1:15" x14ac:dyDescent="0.35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 t="str">
        <f t="shared" si="0"/>
        <v>ORD20003145107C26445Chair500.08996 Main StDebit CardReturnedTRK31229981</v>
      </c>
    </row>
    <row r="34" spans="1:15" x14ac:dyDescent="0.35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 t="str">
        <f t="shared" si="0"/>
        <v>ORD20003245047C12388Tablet536.72830 Main StCashDeliveredTRK99261395</v>
      </c>
    </row>
    <row r="35" spans="1:15" x14ac:dyDescent="0.35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t="str">
        <f t="shared" si="0"/>
        <v>ORD20003345082C52184Chair162.77912 Main StOnlineCancelledTRK73312471</v>
      </c>
    </row>
    <row r="36" spans="1:15" x14ac:dyDescent="0.35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t="str">
        <f t="shared" si="0"/>
        <v>ORD20003444933C67195Chair576.52926 Main StCredit CardPendingTRK55467915</v>
      </c>
    </row>
    <row r="37" spans="1:15" x14ac:dyDescent="0.35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t="str">
        <f t="shared" si="0"/>
        <v>ORD20003545633C50304Monitor465.15128 Main StOnlineShippedTRK46850888</v>
      </c>
    </row>
    <row r="38" spans="1:15" x14ac:dyDescent="0.35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 t="str">
        <f t="shared" si="0"/>
        <v>ORD20003645785C59337Laptop534.43465 Main StDebit CardPendingTRK50961250</v>
      </c>
    </row>
    <row r="39" spans="1:15" x14ac:dyDescent="0.35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t="str">
        <f t="shared" si="0"/>
        <v>ORD20003745579C10054Laptop76.74409 Main StCashReturnedTRK94005261</v>
      </c>
    </row>
    <row r="40" spans="1:15" x14ac:dyDescent="0.35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t="str">
        <f t="shared" si="0"/>
        <v>ORD20003845645C15924Laptop245.89549 Main StDebit CardDeliveredTRK14835975</v>
      </c>
    </row>
    <row r="41" spans="1:15" x14ac:dyDescent="0.35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t="str">
        <f t="shared" si="0"/>
        <v>ORD20003945715C96664Printer256.46666 Main StCredit CardDeliveredTRK85508960</v>
      </c>
    </row>
    <row r="42" spans="1:15" x14ac:dyDescent="0.35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t="str">
        <f t="shared" si="0"/>
        <v>ORD20004045158C84766Desk344.02267 Main StOnlineDeliveredTRK78967923</v>
      </c>
    </row>
    <row r="43" spans="1:15" x14ac:dyDescent="0.35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t="str">
        <f t="shared" si="0"/>
        <v>ORD20004145265C20212Monitor611.45657 Main StGift CardPendingTRK69733327</v>
      </c>
    </row>
    <row r="44" spans="1:15" x14ac:dyDescent="0.35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 t="str">
        <f t="shared" si="0"/>
        <v>ORD20004245418C28712Printer151.66980 Main StCashCancelledTRK40772558</v>
      </c>
    </row>
    <row r="45" spans="1:15" x14ac:dyDescent="0.35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 t="str">
        <f t="shared" si="0"/>
        <v>ORD20004345274C60572Chair499.21871 Main StOnlineCancelledTRK20351666</v>
      </c>
    </row>
    <row r="46" spans="1:15" x14ac:dyDescent="0.35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t="str">
        <f t="shared" si="0"/>
        <v>ORD20004445768C73225Phone550.18996 Main StGift CardReturnedTRK73848522</v>
      </c>
    </row>
    <row r="47" spans="1:15" x14ac:dyDescent="0.35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t="str">
        <f t="shared" si="0"/>
        <v>ORD20004545332C17388Chair317.25157 Main StDebit CardReturnedTRK47077395</v>
      </c>
    </row>
    <row r="48" spans="1:15" x14ac:dyDescent="0.35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t="str">
        <f t="shared" si="0"/>
        <v>ORD20004645469C43212Monitor550.14223 Main StDebit CardPendingTRK25100762</v>
      </c>
    </row>
    <row r="49" spans="1:15" x14ac:dyDescent="0.35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t="str">
        <f t="shared" si="0"/>
        <v>ORD20004745126C38134Desk209.94323 Main StCredit CardReturnedTRK42450754</v>
      </c>
    </row>
    <row r="50" spans="1:15" x14ac:dyDescent="0.35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 t="str">
        <f t="shared" si="0"/>
        <v>ORD20004845164C12408Monitor80.77464 Main StDebit CardShippedTRK38938858</v>
      </c>
    </row>
    <row r="51" spans="1:15" x14ac:dyDescent="0.35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t="str">
        <f t="shared" si="0"/>
        <v>ORD20004945206C11985Printer30.44633 Main StCredit CardShippedTRK53272402</v>
      </c>
    </row>
    <row r="52" spans="1:15" x14ac:dyDescent="0.35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t="str">
        <f t="shared" si="0"/>
        <v>ORD20005045138C96494Tablet179.22446 Main StOnlineCancelledTRK14675049</v>
      </c>
    </row>
    <row r="53" spans="1:15" x14ac:dyDescent="0.35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t="str">
        <f t="shared" si="0"/>
        <v>ORD20005145656C36778Tablet388.33434 Main StCashReturnedTRK67610289</v>
      </c>
    </row>
    <row r="54" spans="1:15" x14ac:dyDescent="0.35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t="str">
        <f t="shared" si="0"/>
        <v>ORD20005245543C30513Tablet586.44232 Main StOnlineReturnedTRK64320429</v>
      </c>
    </row>
    <row r="55" spans="1:15" x14ac:dyDescent="0.35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t="str">
        <f t="shared" si="0"/>
        <v>ORD20005345430C67551Phone488.78512 Main StOnlineReturnedTRK94992552</v>
      </c>
    </row>
    <row r="56" spans="1:15" x14ac:dyDescent="0.35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t="str">
        <f t="shared" si="0"/>
        <v>ORD20005445743C48120Chair280.25623 Main StOnlinePendingTRK11014449</v>
      </c>
    </row>
    <row r="57" spans="1:15" x14ac:dyDescent="0.35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 t="str">
        <f t="shared" si="0"/>
        <v>ORD20005545832C95984Printer344.4565 Main StOnlineCancelledTRK67434829</v>
      </c>
    </row>
    <row r="58" spans="1:15" x14ac:dyDescent="0.35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t="str">
        <f t="shared" si="0"/>
        <v>ORD20005645067C54298Tablet479.21566 Main StCashCancelledTRK62902341</v>
      </c>
    </row>
    <row r="59" spans="1:15" x14ac:dyDescent="0.35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t="str">
        <f t="shared" si="0"/>
        <v>ORD20005744948C88036Printer314.27842 Main StCashReturnedTRK52470128</v>
      </c>
    </row>
    <row r="60" spans="1:15" x14ac:dyDescent="0.35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t="str">
        <f t="shared" si="0"/>
        <v>ORD20005844941C60190Phone474.69202 Main StGift CardCancelledTRK70857868</v>
      </c>
    </row>
    <row r="61" spans="1:15" x14ac:dyDescent="0.35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 t="str">
        <f t="shared" si="0"/>
        <v>ORD20005945546C97603Chair593.27811 Main StOnlineShippedTRK47055028</v>
      </c>
    </row>
    <row r="62" spans="1:15" x14ac:dyDescent="0.35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t="str">
        <f t="shared" si="0"/>
        <v>ORD20006045525C39256Desk417.1634 Main StDebit CardReturnedTRK23412025</v>
      </c>
    </row>
    <row r="63" spans="1:15" x14ac:dyDescent="0.35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t="str">
        <f t="shared" si="0"/>
        <v>ORD20006145375C61618Desk122.2104 Main StCashDeliveredTRK43458485</v>
      </c>
    </row>
    <row r="64" spans="1:15" x14ac:dyDescent="0.35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t="str">
        <f t="shared" si="0"/>
        <v>ORD20006245160C36497Desk43.15691 Main StDebit CardPendingTRK12102911</v>
      </c>
    </row>
    <row r="65" spans="1:15" x14ac:dyDescent="0.35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t="str">
        <f t="shared" si="0"/>
        <v>ORD20006345690C96695Chair564.86813 Main StDebit CardShippedTRK64283851</v>
      </c>
    </row>
    <row r="66" spans="1:15" x14ac:dyDescent="0.35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t="str">
        <f t="shared" si="0"/>
        <v>ORD20006445833C49720Printer130.61752 Main StDebit CardCancelledTRK55785217</v>
      </c>
    </row>
    <row r="67" spans="1:15" x14ac:dyDescent="0.35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 t="str">
        <f t="shared" ref="O67:O130" si="1">A67&amp;B67&amp;C67&amp;D67&amp;F67&amp;G67&amp;H67&amp;I67&amp;J67</f>
        <v>ORD20006545290C97735Monitor81.7385 Main StCredit CardDeliveredTRK13743703</v>
      </c>
    </row>
    <row r="68" spans="1:15" x14ac:dyDescent="0.35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t="str">
        <f t="shared" si="1"/>
        <v>ORD20006645611C18104Chair127.18715 Main StCashCancelledTRK15488568</v>
      </c>
    </row>
    <row r="69" spans="1:15" x14ac:dyDescent="0.35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 t="str">
        <f t="shared" si="1"/>
        <v>ORD20006745635C25587Printer12.1440 Main StDebit CardCancelledTRK55105323</v>
      </c>
    </row>
    <row r="70" spans="1:15" x14ac:dyDescent="0.35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t="str">
        <f t="shared" si="1"/>
        <v>ORD20006845271C41598Chair490.92709 Main StCredit CardPendingTRK81665940</v>
      </c>
    </row>
    <row r="71" spans="1:15" x14ac:dyDescent="0.35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 t="str">
        <f t="shared" si="1"/>
        <v>ORD20006945057C43338Monitor478.65552 Main StOnlineShippedTRK35241775</v>
      </c>
    </row>
    <row r="72" spans="1:15" x14ac:dyDescent="0.35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t="str">
        <f t="shared" si="1"/>
        <v>ORD20007045072C25123Desk629.21384 Main StGift CardPendingTRK27812282</v>
      </c>
    </row>
    <row r="73" spans="1:15" x14ac:dyDescent="0.35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 t="str">
        <f t="shared" si="1"/>
        <v>ORD20007145818C37454Monitor434.45923 Main StCredit CardPendingTRK28252730</v>
      </c>
    </row>
    <row r="74" spans="1:15" x14ac:dyDescent="0.35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 t="str">
        <f t="shared" si="1"/>
        <v>ORD20007245648C19451Tablet589.44942 Main StGift CardReturnedTRK87787793</v>
      </c>
    </row>
    <row r="75" spans="1:15" x14ac:dyDescent="0.35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 t="str">
        <f t="shared" si="1"/>
        <v>ORD20007345049C17269Monitor433.45129 Main StGift CardCancelledTRK79608389</v>
      </c>
    </row>
    <row r="76" spans="1:15" x14ac:dyDescent="0.35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 t="str">
        <f t="shared" si="1"/>
        <v>ORD20007445101C25382Phone90.87622 Main StCashPendingTRK64691287</v>
      </c>
    </row>
    <row r="77" spans="1:15" x14ac:dyDescent="0.35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t="str">
        <f t="shared" si="1"/>
        <v>ORD20007545195C80651Tablet398.17917 Main StDebit CardDeliveredTRK14846720</v>
      </c>
    </row>
    <row r="78" spans="1:15" x14ac:dyDescent="0.35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t="str">
        <f t="shared" si="1"/>
        <v>ORD20007645382C58638Laptop382.88239 Main StCashCancelledTRK38224871</v>
      </c>
    </row>
    <row r="79" spans="1:15" x14ac:dyDescent="0.35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 t="str">
        <f t="shared" si="1"/>
        <v>ORD20007745436C50121Phone583.18348 Main StCredit CardReturnedTRK79810059</v>
      </c>
    </row>
    <row r="80" spans="1:15" x14ac:dyDescent="0.35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t="str">
        <f t="shared" si="1"/>
        <v>ORD20007845510C32029Printer175.36146 Main StDebit CardDeliveredTRK68535532</v>
      </c>
    </row>
    <row r="81" spans="1:15" x14ac:dyDescent="0.35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 t="str">
        <f t="shared" si="1"/>
        <v>ORD20007945726C76700Tablet311.91103 Main StOnlineShippedTRK13036341</v>
      </c>
    </row>
    <row r="82" spans="1:15" x14ac:dyDescent="0.35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 t="str">
        <f t="shared" si="1"/>
        <v>ORD20008045104C29041Phone589.56591 Main StOnlineReturnedTRK28840655</v>
      </c>
    </row>
    <row r="83" spans="1:15" x14ac:dyDescent="0.35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t="str">
        <f t="shared" si="1"/>
        <v>ORD20008145085C29314Monitor394.3496 Main StCashShippedTRK59876213</v>
      </c>
    </row>
    <row r="84" spans="1:15" x14ac:dyDescent="0.35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t="str">
        <f t="shared" si="1"/>
        <v>ORD20008245296C65799Tablet565.2971 Main StDebit CardShippedTRK66906607</v>
      </c>
    </row>
    <row r="85" spans="1:15" x14ac:dyDescent="0.35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 t="str">
        <f t="shared" si="1"/>
        <v>ORD20008345160C15681Laptop540.41989 Main StCredit CardCancelledTRK75112172</v>
      </c>
    </row>
    <row r="86" spans="1:15" x14ac:dyDescent="0.35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t="str">
        <f t="shared" si="1"/>
        <v>ORD20008445166C64160Monitor165.49967 Main StOnlineShippedTRK34121529</v>
      </c>
    </row>
    <row r="87" spans="1:15" x14ac:dyDescent="0.35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t="str">
        <f t="shared" si="1"/>
        <v>ORD20008545544C14553Tablet146.73768 Main StCashDeliveredTRK93538334</v>
      </c>
    </row>
    <row r="88" spans="1:15" x14ac:dyDescent="0.35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t="str">
        <f t="shared" si="1"/>
        <v>ORD20008645462C88205Printer643.03447 Main StOnlineCancelledTRK93504166</v>
      </c>
    </row>
    <row r="89" spans="1:15" x14ac:dyDescent="0.35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t="str">
        <f t="shared" si="1"/>
        <v>ORD20008745575C91245Tablet225.11915 Main StCashShippedTRK46976391</v>
      </c>
    </row>
    <row r="90" spans="1:15" x14ac:dyDescent="0.35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 t="str">
        <f t="shared" si="1"/>
        <v>ORD20008845813C75439Desk114.81318 Main StGift CardCancelledTRK19831653</v>
      </c>
    </row>
    <row r="91" spans="1:15" x14ac:dyDescent="0.35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t="str">
        <f t="shared" si="1"/>
        <v>ORD20008945713C17181Printer455.33291 Main StCredit CardCancelledTRK78912978</v>
      </c>
    </row>
    <row r="92" spans="1:15" x14ac:dyDescent="0.35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t="str">
        <f t="shared" si="1"/>
        <v>ORD20009045187C36540Chair182.08611 Main StGift CardDeliveredTRK35828122</v>
      </c>
    </row>
    <row r="93" spans="1:15" x14ac:dyDescent="0.35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t="str">
        <f t="shared" si="1"/>
        <v>ORD20009145000C98216Laptop492.75196 Main StCashShippedTRK40986666</v>
      </c>
    </row>
    <row r="94" spans="1:15" x14ac:dyDescent="0.35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t="str">
        <f t="shared" si="1"/>
        <v>ORD20009245453C29568Printer48.61203 Main StOnlineShippedTRK46531075</v>
      </c>
    </row>
    <row r="95" spans="1:15" x14ac:dyDescent="0.35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 t="str">
        <f t="shared" si="1"/>
        <v>ORD20009344940C97262Desk431.01837 Main StCredit CardReturnedTRK65990229</v>
      </c>
    </row>
    <row r="96" spans="1:15" x14ac:dyDescent="0.35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t="str">
        <f t="shared" si="1"/>
        <v>ORD20009444968C79821Chair531.18781 Main StGift CardReturnedTRK12780193</v>
      </c>
    </row>
    <row r="97" spans="1:15" x14ac:dyDescent="0.35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 t="str">
        <f t="shared" si="1"/>
        <v>ORD20009545009C76761Printer117.51839 Main StDebit CardReturnedTRK60179774</v>
      </c>
    </row>
    <row r="98" spans="1:15" x14ac:dyDescent="0.35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 t="str">
        <f t="shared" si="1"/>
        <v>ORD20009645444C93007Phone232.83103 Main StGift CardDeliveredTRK85696091</v>
      </c>
    </row>
    <row r="99" spans="1:15" x14ac:dyDescent="0.35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 t="str">
        <f t="shared" si="1"/>
        <v>ORD20009745678C15624Tablet619.52922 Main StDebit CardPendingTRK40621141</v>
      </c>
    </row>
    <row r="100" spans="1:15" x14ac:dyDescent="0.35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 t="str">
        <f t="shared" si="1"/>
        <v>ORD20009844940C70921Printer228.54533 Main StDebit CardPendingTRK54983109</v>
      </c>
    </row>
    <row r="101" spans="1:15" x14ac:dyDescent="0.35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t="str">
        <f t="shared" si="1"/>
        <v>ORD20009945759C30477Printer201.58717 Main StDebit CardCancelledTRK51829648</v>
      </c>
    </row>
    <row r="102" spans="1:15" x14ac:dyDescent="0.35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 t="str">
        <f t="shared" si="1"/>
        <v>ORD20010044974C74866Phone664.79743 Main StOnlineDeliveredTRK53783265</v>
      </c>
    </row>
    <row r="103" spans="1:15" x14ac:dyDescent="0.35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 t="str">
        <f t="shared" si="1"/>
        <v>ORD20010145255C15283Printer381.02152 Main StCashShippedTRK19286291</v>
      </c>
    </row>
    <row r="104" spans="1:15" x14ac:dyDescent="0.35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t="str">
        <f t="shared" si="1"/>
        <v>ORD20010244993C18037Laptop70.34944 Main StGift CardCancelledTRK47362236</v>
      </c>
    </row>
    <row r="105" spans="1:15" x14ac:dyDescent="0.35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t="str">
        <f t="shared" si="1"/>
        <v>ORD20010345682C62656Phone218.43514 Main StCredit CardCancelledTRK86296459</v>
      </c>
    </row>
    <row r="106" spans="1:15" x14ac:dyDescent="0.35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t="str">
        <f t="shared" si="1"/>
        <v>ORD20010445503C65744Phone582.04647 Main StGift CardDeliveredTRK39906058</v>
      </c>
    </row>
    <row r="107" spans="1:15" x14ac:dyDescent="0.35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 t="str">
        <f t="shared" si="1"/>
        <v>ORD20010545589C72290Printer185.4810 Main StGift CardCancelledTRK68792129</v>
      </c>
    </row>
    <row r="108" spans="1:15" x14ac:dyDescent="0.35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t="str">
        <f t="shared" si="1"/>
        <v>ORD20010645177C73514Desk465.05126 Main StCredit CardCancelledTRK96777924</v>
      </c>
    </row>
    <row r="109" spans="1:15" x14ac:dyDescent="0.35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t="str">
        <f t="shared" si="1"/>
        <v>ORD20010745012C16775Printer670.75848 Main StGift CardShippedTRK34392124</v>
      </c>
    </row>
    <row r="110" spans="1:15" x14ac:dyDescent="0.35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t="str">
        <f t="shared" si="1"/>
        <v>ORD20010845654C33099Laptop48.38522 Main StGift CardDeliveredTRK28522330</v>
      </c>
    </row>
    <row r="111" spans="1:15" x14ac:dyDescent="0.35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t="str">
        <f t="shared" si="1"/>
        <v>ORD20010945186C51157Desk592.87131 Main StGift CardShippedTRK18674578</v>
      </c>
    </row>
    <row r="112" spans="1:15" x14ac:dyDescent="0.35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t="str">
        <f t="shared" si="1"/>
        <v>ORD20011045403C74562Tablet220.77388 Main StGift CardPendingTRK32062079</v>
      </c>
    </row>
    <row r="113" spans="1:15" x14ac:dyDescent="0.35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t="str">
        <f t="shared" si="1"/>
        <v>ORD20011145784C95271Desk309.22620 Main StOnlineCancelledTRK74904969</v>
      </c>
    </row>
    <row r="114" spans="1:15" x14ac:dyDescent="0.35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t="str">
        <f t="shared" si="1"/>
        <v>ORD20011244927C81366Monitor410.6423 Main StOnlineCancelledTRK17062206</v>
      </c>
    </row>
    <row r="115" spans="1:15" x14ac:dyDescent="0.35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t="str">
        <f t="shared" si="1"/>
        <v>ORD20011345308C65905Laptop190.08605 Main StCashShippedTRK73954365</v>
      </c>
    </row>
    <row r="116" spans="1:15" x14ac:dyDescent="0.35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t="str">
        <f t="shared" si="1"/>
        <v>ORD20011445684C77272Monitor498.48115 Main StOnlinePendingTRK29708128</v>
      </c>
    </row>
    <row r="117" spans="1:15" x14ac:dyDescent="0.35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t="str">
        <f t="shared" si="1"/>
        <v>ORD20011545257C32580Phone374.99122 Main StOnlineShippedTRK23670394</v>
      </c>
    </row>
    <row r="118" spans="1:15" x14ac:dyDescent="0.35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t="str">
        <f t="shared" si="1"/>
        <v>ORD20011645004C47761Printer291.35109 Main StCredit CardCancelledTRK66669207</v>
      </c>
    </row>
    <row r="119" spans="1:15" x14ac:dyDescent="0.35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t="str">
        <f t="shared" si="1"/>
        <v>ORD20011744993C49187Tablet535.5593 Main StGift CardCancelledTRK81888598</v>
      </c>
    </row>
    <row r="120" spans="1:15" x14ac:dyDescent="0.35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t="str">
        <f t="shared" si="1"/>
        <v>ORD20011845208C27898Printer502.71807 Main StGift CardShippedTRK61957665</v>
      </c>
    </row>
    <row r="121" spans="1:15" x14ac:dyDescent="0.35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t="str">
        <f t="shared" si="1"/>
        <v>ORD20011945819C14683Desk534.67187 Main StDebit CardShippedTRK47373682</v>
      </c>
    </row>
    <row r="122" spans="1:15" x14ac:dyDescent="0.35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t="str">
        <f t="shared" si="1"/>
        <v>ORD20012045027C58108Tablet629.34986 Main StCashCancelledTRK66218053</v>
      </c>
    </row>
    <row r="123" spans="1:15" x14ac:dyDescent="0.35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t="str">
        <f t="shared" si="1"/>
        <v>ORD20012145260C89822Desk410.78673 Main StCashCancelledTRK24138598</v>
      </c>
    </row>
    <row r="124" spans="1:15" x14ac:dyDescent="0.35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 t="str">
        <f t="shared" si="1"/>
        <v>ORD20012245397C96787Laptop533.02588 Main StGift CardShippedTRK30422853</v>
      </c>
    </row>
    <row r="125" spans="1:15" x14ac:dyDescent="0.35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 t="str">
        <f t="shared" si="1"/>
        <v>ORD20012345113C86064Desk278.04727 Main StOnlineDeliveredTRK62182901</v>
      </c>
    </row>
    <row r="126" spans="1:15" x14ac:dyDescent="0.35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 t="str">
        <f t="shared" si="1"/>
        <v>ORD20012445501C97148Printer283.79563 Main StOnlinePendingTRK85321126</v>
      </c>
    </row>
    <row r="127" spans="1:15" x14ac:dyDescent="0.35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t="str">
        <f t="shared" si="1"/>
        <v>ORD20012545602C91099Phone512.65758 Main StCredit CardShippedTRK81846174</v>
      </c>
    </row>
    <row r="128" spans="1:15" x14ac:dyDescent="0.35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t="str">
        <f t="shared" si="1"/>
        <v>ORD20012645780C55606Desk275.5353 Main StGift CardShippedTRK68250319</v>
      </c>
    </row>
    <row r="129" spans="1:15" x14ac:dyDescent="0.35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 t="str">
        <f t="shared" si="1"/>
        <v>ORD20012745148C71486Desk469.32365 Main StDebit CardShippedTRK73929833</v>
      </c>
    </row>
    <row r="130" spans="1:15" x14ac:dyDescent="0.35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t="str">
        <f t="shared" si="1"/>
        <v>ORD20012844974C86408Tablet21.07244 Main StGift CardDeliveredTRK41432648</v>
      </c>
    </row>
    <row r="131" spans="1:15" x14ac:dyDescent="0.35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t="str">
        <f t="shared" ref="O131:O194" si="2">A131&amp;B131&amp;C131&amp;D131&amp;F131&amp;G131&amp;H131&amp;I131&amp;J131</f>
        <v>ORD20012945226C52751Laptop263.93427 Main StDebit CardShippedTRK72481234</v>
      </c>
    </row>
    <row r="132" spans="1:15" x14ac:dyDescent="0.35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t="str">
        <f t="shared" si="2"/>
        <v>ORD20013045679C29059Desk501.3513 Main StOnlineCancelledTRK88360704</v>
      </c>
    </row>
    <row r="133" spans="1:15" x14ac:dyDescent="0.35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 t="str">
        <f t="shared" si="2"/>
        <v>ORD20013144934C72862Tablet84.8606 Main StGift CardPendingTRK51648833</v>
      </c>
    </row>
    <row r="134" spans="1:15" x14ac:dyDescent="0.35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t="str">
        <f t="shared" si="2"/>
        <v>ORD20013245013C96257Tablet450.75583 Main StCredit CardShippedTRK13137948</v>
      </c>
    </row>
    <row r="135" spans="1:15" x14ac:dyDescent="0.35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t="str">
        <f t="shared" si="2"/>
        <v>ORD20013345828C87432Chair302.05636 Main StDebit CardCancelledTRK68969625</v>
      </c>
    </row>
    <row r="136" spans="1:15" x14ac:dyDescent="0.35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 t="str">
        <f t="shared" si="2"/>
        <v>ORD20013445831C16253Laptop199.7583 Main StCashPendingTRK17354894</v>
      </c>
    </row>
    <row r="137" spans="1:15" x14ac:dyDescent="0.35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t="str">
        <f t="shared" si="2"/>
        <v>ORD20013545142C79909Printer68.81642 Main StGift CardShippedTRK86742257</v>
      </c>
    </row>
    <row r="138" spans="1:15" x14ac:dyDescent="0.35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t="str">
        <f t="shared" si="2"/>
        <v>ORD20013645409C73370Laptop44.35595 Main StGift CardCancelledTRK67820278</v>
      </c>
    </row>
    <row r="139" spans="1:15" x14ac:dyDescent="0.35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 t="str">
        <f t="shared" si="2"/>
        <v>ORD20013745622C50682Monitor250.98598 Main StCredit CardDeliveredTRK12242337</v>
      </c>
    </row>
    <row r="140" spans="1:15" x14ac:dyDescent="0.35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t="str">
        <f t="shared" si="2"/>
        <v>ORD20013845281C21905Tablet298.06478 Main StDebit CardPendingTRK31863841</v>
      </c>
    </row>
    <row r="141" spans="1:15" x14ac:dyDescent="0.35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 t="str">
        <f t="shared" si="2"/>
        <v>ORD20013945026C61440Phone583.9714 Main StCashReturnedTRK33114521</v>
      </c>
    </row>
    <row r="142" spans="1:15" x14ac:dyDescent="0.35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t="str">
        <f t="shared" si="2"/>
        <v>ORD20014045808C33110Chair528.14388 Main StOnlineDeliveredTRK38624225</v>
      </c>
    </row>
    <row r="143" spans="1:15" x14ac:dyDescent="0.35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t="str">
        <f t="shared" si="2"/>
        <v>ORD20014145248C80004Printer684.14151 Main StCashCancelledTRK66230753</v>
      </c>
    </row>
    <row r="144" spans="1:15" x14ac:dyDescent="0.35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t="str">
        <f t="shared" si="2"/>
        <v>ORD20014245175C86374Desk272.77573 Main StCashPendingTRK79451491</v>
      </c>
    </row>
    <row r="145" spans="1:15" x14ac:dyDescent="0.35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 t="str">
        <f t="shared" si="2"/>
        <v>ORD20014345456C66521Chair400.07933 Main StOnlineShippedTRK34654244</v>
      </c>
    </row>
    <row r="146" spans="1:15" x14ac:dyDescent="0.35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 t="str">
        <f t="shared" si="2"/>
        <v>ORD20014445142C63365Desk219.78895 Main StCredit CardPendingTRK80100887</v>
      </c>
    </row>
    <row r="147" spans="1:15" x14ac:dyDescent="0.35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t="str">
        <f t="shared" si="2"/>
        <v>ORD20014545353C85929Printer146.91798 Main StCredit CardDeliveredTRK29318610</v>
      </c>
    </row>
    <row r="148" spans="1:15" x14ac:dyDescent="0.35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 t="str">
        <f t="shared" si="2"/>
        <v>ORD20014645777C84645Tablet411.49404 Main StCredit CardReturnedTRK68893369</v>
      </c>
    </row>
    <row r="149" spans="1:15" x14ac:dyDescent="0.35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t="str">
        <f t="shared" si="2"/>
        <v>ORD20014745783C46316Laptop465.18893 Main StCredit CardCancelledTRK16196000</v>
      </c>
    </row>
    <row r="150" spans="1:15" x14ac:dyDescent="0.35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t="str">
        <f t="shared" si="2"/>
        <v>ORD20014845641C35100Phone319.91139 Main StCredit CardCancelledTRK56853491</v>
      </c>
    </row>
    <row r="151" spans="1:15" x14ac:dyDescent="0.35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 t="str">
        <f t="shared" si="2"/>
        <v>ORD20014945287C39671Laptop217.56174 Main StDebit CardDeliveredTRK47153818</v>
      </c>
    </row>
    <row r="152" spans="1:15" x14ac:dyDescent="0.35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t="str">
        <f t="shared" si="2"/>
        <v>ORD20015045273C25503Phone105.57981 Main StDebit CardReturnedTRK29878837</v>
      </c>
    </row>
    <row r="153" spans="1:15" x14ac:dyDescent="0.35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 t="str">
        <f t="shared" si="2"/>
        <v>ORD20015145261C32960Printer444.76947 Main StDebit CardReturnedTRK91226500</v>
      </c>
    </row>
    <row r="154" spans="1:15" x14ac:dyDescent="0.35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t="str">
        <f t="shared" si="2"/>
        <v>ORD20015245659C77736Chair399.04659 Main StCashCancelledTRK90329250</v>
      </c>
    </row>
    <row r="155" spans="1:15" x14ac:dyDescent="0.35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t="str">
        <f t="shared" si="2"/>
        <v>ORD20015345644C71570Chair534.48437 Main StOnlineReturnedTRK95992269</v>
      </c>
    </row>
    <row r="156" spans="1:15" x14ac:dyDescent="0.35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 t="str">
        <f t="shared" si="2"/>
        <v>ORD20015445127C73587Phone408.21727 Main StCredit CardPendingTRK13955543</v>
      </c>
    </row>
    <row r="157" spans="1:15" x14ac:dyDescent="0.35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t="str">
        <f t="shared" si="2"/>
        <v>ORD20015544984C62740Phone424.4446 Main StOnlineShippedTRK20706408</v>
      </c>
    </row>
    <row r="158" spans="1:15" x14ac:dyDescent="0.35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t="str">
        <f t="shared" si="2"/>
        <v>ORD20015645604C58808Chair269.83651 Main StOnlineDeliveredTRK24451893</v>
      </c>
    </row>
    <row r="159" spans="1:15" x14ac:dyDescent="0.35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t="str">
        <f t="shared" si="2"/>
        <v>ORD20015745709C50422Monitor564.58636 Main StOnlineReturnedTRK71227815</v>
      </c>
    </row>
    <row r="160" spans="1:15" x14ac:dyDescent="0.35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t="str">
        <f t="shared" si="2"/>
        <v>ORD20015845428C23334Tablet331.06737 Main StCredit CardPendingTRK46335144</v>
      </c>
    </row>
    <row r="161" spans="1:15" x14ac:dyDescent="0.35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t="str">
        <f t="shared" si="2"/>
        <v>ORD20015945230C48965Printer299.35819 Main StCredit CardCancelledTRK50921780</v>
      </c>
    </row>
    <row r="162" spans="1:15" x14ac:dyDescent="0.35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 t="str">
        <f t="shared" si="2"/>
        <v>ORD20016044974C38669Monitor101.32240 Main StCashPendingTRK81738254</v>
      </c>
    </row>
    <row r="163" spans="1:15" x14ac:dyDescent="0.35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t="str">
        <f t="shared" si="2"/>
        <v>ORD20016145380C35091Monitor211.14513 Main StCredit CardCancelledTRK53784452</v>
      </c>
    </row>
    <row r="164" spans="1:15" x14ac:dyDescent="0.35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t="str">
        <f t="shared" si="2"/>
        <v>ORD20016245134C82313Chair65.86917 Main StOnlinePendingTRK79854624</v>
      </c>
    </row>
    <row r="165" spans="1:15" x14ac:dyDescent="0.35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 t="str">
        <f t="shared" si="2"/>
        <v>ORD20016345832C99589Tablet641.39277 Main StOnlineCancelledTRK16695001</v>
      </c>
    </row>
    <row r="166" spans="1:15" x14ac:dyDescent="0.35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t="str">
        <f t="shared" si="2"/>
        <v>ORD20016445288C70566Desk536.58667 Main StGift CardPendingTRK49673411</v>
      </c>
    </row>
    <row r="167" spans="1:15" x14ac:dyDescent="0.35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t="str">
        <f t="shared" si="2"/>
        <v>ORD20016545549C60355Monitor500.29226 Main StOnlineReturnedTRK30155194</v>
      </c>
    </row>
    <row r="168" spans="1:15" x14ac:dyDescent="0.35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t="str">
        <f t="shared" si="2"/>
        <v>ORD20016645720C28889Chair86.29565 Main StCashDeliveredTRK23791726</v>
      </c>
    </row>
    <row r="169" spans="1:15" x14ac:dyDescent="0.35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t="str">
        <f t="shared" si="2"/>
        <v>ORD20016745073C88304Chair384.14219 Main StOnlineReturnedTRK44268941</v>
      </c>
    </row>
    <row r="170" spans="1:15" x14ac:dyDescent="0.35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 t="str">
        <f t="shared" si="2"/>
        <v>ORD20016845661C49517Printer594.96878 Main StCashReturnedTRK78551375</v>
      </c>
    </row>
    <row r="171" spans="1:15" x14ac:dyDescent="0.35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t="str">
        <f t="shared" si="2"/>
        <v>ORD20016945389C35785Printer427.82732 Main StOnlineDeliveredTRK78923089</v>
      </c>
    </row>
    <row r="172" spans="1:15" x14ac:dyDescent="0.35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t="str">
        <f t="shared" si="2"/>
        <v>ORD20017045751C80223Desk662.94535 Main StCashCancelledTRK68632951</v>
      </c>
    </row>
    <row r="173" spans="1:15" x14ac:dyDescent="0.35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t="str">
        <f t="shared" si="2"/>
        <v>ORD20017145153C20448Tablet148.22336 Main StCredit CardDeliveredTRK67379895</v>
      </c>
    </row>
    <row r="174" spans="1:15" x14ac:dyDescent="0.35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t="str">
        <f t="shared" si="2"/>
        <v>ORD20017245753C34134Printer254.12365 Main StOnlineDeliveredTRK43074303</v>
      </c>
    </row>
    <row r="175" spans="1:15" x14ac:dyDescent="0.35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t="str">
        <f t="shared" si="2"/>
        <v>ORD20017345375C95901Phone664.46806 Main StOnlineDeliveredTRK56989066</v>
      </c>
    </row>
    <row r="176" spans="1:15" x14ac:dyDescent="0.35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t="str">
        <f t="shared" si="2"/>
        <v>ORD20017445398C51145Printer600.81790 Main StDebit CardDeliveredTRK59154274</v>
      </c>
    </row>
    <row r="177" spans="1:15" x14ac:dyDescent="0.35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t="str">
        <f t="shared" si="2"/>
        <v>ORD20017545696C78170Chair68.34332 Main StDebit CardPendingTRK71410605</v>
      </c>
    </row>
    <row r="178" spans="1:15" x14ac:dyDescent="0.35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t="str">
        <f t="shared" si="2"/>
        <v>ORD20017645836C80151Tablet430.83553 Main StGift CardPendingTRK88251529</v>
      </c>
    </row>
    <row r="179" spans="1:15" x14ac:dyDescent="0.35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 t="str">
        <f t="shared" si="2"/>
        <v>ORD20017745143C55632Chair431.69354 Main StCredit CardPendingTRK13003066</v>
      </c>
    </row>
    <row r="180" spans="1:15" x14ac:dyDescent="0.35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t="str">
        <f t="shared" si="2"/>
        <v>ORD20017845393C53070Chair512.06283 Main StOnlineDeliveredTRK49791755</v>
      </c>
    </row>
    <row r="181" spans="1:15" x14ac:dyDescent="0.35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 t="str">
        <f t="shared" si="2"/>
        <v>ORD20017945620C27401Laptop539.91500 Main StCredit CardDeliveredTRK14332053</v>
      </c>
    </row>
    <row r="182" spans="1:15" x14ac:dyDescent="0.35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 t="str">
        <f t="shared" si="2"/>
        <v>ORD20018045003C87216Tablet316.07970 Main StCashReturnedTRK18713727</v>
      </c>
    </row>
    <row r="183" spans="1:15" x14ac:dyDescent="0.35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 t="str">
        <f t="shared" si="2"/>
        <v>ORD20018145535C38966Printer404.39247 Main StOnlineShippedTRK17205146</v>
      </c>
    </row>
    <row r="184" spans="1:15" x14ac:dyDescent="0.35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t="str">
        <f t="shared" si="2"/>
        <v>ORD20018245735C16612Desk600.54596 Main StDebit CardPendingTRK96188223</v>
      </c>
    </row>
    <row r="185" spans="1:15" x14ac:dyDescent="0.35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t="str">
        <f t="shared" si="2"/>
        <v>ORD20018345400C39246Monitor186.28258 Main StDebit CardDeliveredTRK16658182</v>
      </c>
    </row>
    <row r="186" spans="1:15" x14ac:dyDescent="0.35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 t="str">
        <f t="shared" si="2"/>
        <v>ORD20018445386C65180Tablet214.54231 Main StGift CardCancelledTRK39255469</v>
      </c>
    </row>
    <row r="187" spans="1:15" x14ac:dyDescent="0.35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t="str">
        <f t="shared" si="2"/>
        <v>ORD20018545690C46877Laptop210.7572 Main StOnlineShippedTRK96935978</v>
      </c>
    </row>
    <row r="188" spans="1:15" x14ac:dyDescent="0.35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t="str">
        <f t="shared" si="2"/>
        <v>ORD20018645267C30334Phone133.55322 Main StCashPendingTRK66388885</v>
      </c>
    </row>
    <row r="189" spans="1:15" x14ac:dyDescent="0.35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t="str">
        <f t="shared" si="2"/>
        <v>ORD20018744965C21227Chair590.87689 Main StGift CardReturnedTRK79129657</v>
      </c>
    </row>
    <row r="190" spans="1:15" x14ac:dyDescent="0.35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t="str">
        <f t="shared" si="2"/>
        <v>ORD20018845731C97715Chair363.91927 Main StGift CardShippedTRK19515949</v>
      </c>
    </row>
    <row r="191" spans="1:15" x14ac:dyDescent="0.35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t="str">
        <f t="shared" si="2"/>
        <v>ORD20018945112C48939Printer429.45597 Main StGift CardCancelledTRK62786764</v>
      </c>
    </row>
    <row r="192" spans="1:15" x14ac:dyDescent="0.35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t="str">
        <f t="shared" si="2"/>
        <v>ORD20019045535C35483Printer223.7725 Main StCashReturnedTRK79638203</v>
      </c>
    </row>
    <row r="193" spans="1:15" x14ac:dyDescent="0.35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t="str">
        <f t="shared" si="2"/>
        <v>ORD20019145724C51494Laptop488.87505 Main StOnlineCancelledTRK58520306</v>
      </c>
    </row>
    <row r="194" spans="1:15" x14ac:dyDescent="0.35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t="str">
        <f t="shared" si="2"/>
        <v>ORD20019245149C58410Desk645.46151 Main StGift CardCancelledTRK19749672</v>
      </c>
    </row>
    <row r="195" spans="1:15" x14ac:dyDescent="0.35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 t="str">
        <f t="shared" ref="O195:O258" si="3">A195&amp;B195&amp;C195&amp;D195&amp;F195&amp;G195&amp;H195&amp;I195&amp;J195</f>
        <v>ORD20019345128C11644Printer46.66429 Main StCashCancelledTRK81320339</v>
      </c>
    </row>
    <row r="196" spans="1:15" x14ac:dyDescent="0.35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t="str">
        <f t="shared" si="3"/>
        <v>ORD20019445451C53501Monitor249.57899 Main StCashShippedTRK90144892</v>
      </c>
    </row>
    <row r="197" spans="1:15" x14ac:dyDescent="0.35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 t="str">
        <f t="shared" si="3"/>
        <v>ORD20019545404C63619Chair619.21801 Main StDebit CardCancelledTRK65385674</v>
      </c>
    </row>
    <row r="198" spans="1:15" x14ac:dyDescent="0.35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t="str">
        <f t="shared" si="3"/>
        <v>ORD20019645681C40882Desk217.13719 Main StCashDeliveredTRK64165503</v>
      </c>
    </row>
    <row r="199" spans="1:15" x14ac:dyDescent="0.35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t="str">
        <f t="shared" si="3"/>
        <v>ORD20019745165C80135Laptop221.51723 Main StCashReturnedTRK95222269</v>
      </c>
    </row>
    <row r="200" spans="1:15" x14ac:dyDescent="0.35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t="str">
        <f t="shared" si="3"/>
        <v>ORD20019845454C37594Laptop340.3926 Main StCashCancelledTRK94405162</v>
      </c>
    </row>
    <row r="201" spans="1:15" x14ac:dyDescent="0.35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t="str">
        <f t="shared" si="3"/>
        <v>ORD20019945680C87524Phone625358 Main StOnlineReturnedTRK21114341</v>
      </c>
    </row>
    <row r="202" spans="1:15" x14ac:dyDescent="0.35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t="str">
        <f t="shared" si="3"/>
        <v>ORD20020045815C97681Tablet433.26895 Main StCredit CardDeliveredTRK37531040</v>
      </c>
    </row>
    <row r="203" spans="1:15" x14ac:dyDescent="0.35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t="str">
        <f t="shared" si="3"/>
        <v>ORD20020145095C10126Monitor674.9146 Main StOnlineShippedTRK75607531</v>
      </c>
    </row>
    <row r="204" spans="1:15" x14ac:dyDescent="0.35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t="str">
        <f t="shared" si="3"/>
        <v>ORD20020245694C36938Monitor253.98636 Main StCredit CardCancelledTRK52522904</v>
      </c>
    </row>
    <row r="205" spans="1:15" x14ac:dyDescent="0.35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t="str">
        <f t="shared" si="3"/>
        <v>ORD20020345678C99173Printer356.84172 Main StOnlineShippedTRK89849342</v>
      </c>
    </row>
    <row r="206" spans="1:15" x14ac:dyDescent="0.35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t="str">
        <f t="shared" si="3"/>
        <v>ORD20020445174C99775Laptop413.71478 Main StGift CardCancelledTRK21638425</v>
      </c>
    </row>
    <row r="207" spans="1:15" x14ac:dyDescent="0.35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 t="str">
        <f t="shared" si="3"/>
        <v>ORD20020544989C19266Desk147.39609 Main StDebit CardReturnedTRK58357269</v>
      </c>
    </row>
    <row r="208" spans="1:15" x14ac:dyDescent="0.35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t="str">
        <f t="shared" si="3"/>
        <v>ORD20020645398C31072Laptop229.1729 Main StGift CardReturnedTRK77172975</v>
      </c>
    </row>
    <row r="209" spans="1:15" x14ac:dyDescent="0.35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 t="str">
        <f t="shared" si="3"/>
        <v>ORD20020745734C54595Phone121.96999 Main StDebit CardDeliveredTRK44416659</v>
      </c>
    </row>
    <row r="210" spans="1:15" x14ac:dyDescent="0.35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t="str">
        <f t="shared" si="3"/>
        <v>ORD20020845573C87777Desk408.32597 Main StOnlineShippedTRK29003608</v>
      </c>
    </row>
    <row r="211" spans="1:15" x14ac:dyDescent="0.35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t="str">
        <f t="shared" si="3"/>
        <v>ORD20020945167C35854Tablet187.97706 Main StCashReturnedTRK30615168</v>
      </c>
    </row>
    <row r="212" spans="1:15" x14ac:dyDescent="0.35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t="str">
        <f t="shared" si="3"/>
        <v>ORD20021045631C93821Chair358.48513 Main StGift CardDeliveredTRK10658539</v>
      </c>
    </row>
    <row r="213" spans="1:15" x14ac:dyDescent="0.35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t="str">
        <f t="shared" si="3"/>
        <v>ORD20021145660C54390Printer193.58185 Main StGift CardPendingTRK83853742</v>
      </c>
    </row>
    <row r="214" spans="1:15" x14ac:dyDescent="0.35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t="str">
        <f t="shared" si="3"/>
        <v>ORD20021245097C53215Monitor265.38367 Main StCredit CardCancelledTRK34751835</v>
      </c>
    </row>
    <row r="215" spans="1:15" x14ac:dyDescent="0.35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t="str">
        <f t="shared" si="3"/>
        <v>ORD20021345036C71122Laptop634.4317 Main StCashCancelledTRK54757882</v>
      </c>
    </row>
    <row r="216" spans="1:15" x14ac:dyDescent="0.35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 t="str">
        <f t="shared" si="3"/>
        <v>ORD20021445525C29483Desk305.72673 Main StOnlineDeliveredTRK89423603</v>
      </c>
    </row>
    <row r="217" spans="1:15" x14ac:dyDescent="0.35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t="str">
        <f t="shared" si="3"/>
        <v>ORD20021545148C26767Printer303.6432 Main StCashShippedTRK24585307</v>
      </c>
    </row>
    <row r="218" spans="1:15" x14ac:dyDescent="0.35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t="str">
        <f t="shared" si="3"/>
        <v>ORD20021645762C70492Monitor496811 Main StOnlineCancelledTRK84625405</v>
      </c>
    </row>
    <row r="219" spans="1:15" x14ac:dyDescent="0.35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 t="str">
        <f t="shared" si="3"/>
        <v>ORD20021745432C61549Desk321.51908 Main StCashReturnedTRK65596914</v>
      </c>
    </row>
    <row r="220" spans="1:15" x14ac:dyDescent="0.35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t="str">
        <f t="shared" si="3"/>
        <v>ORD20021845044C11665Tablet112.46882 Main StGift CardShippedTRK10993930</v>
      </c>
    </row>
    <row r="221" spans="1:15" x14ac:dyDescent="0.35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t="str">
        <f t="shared" si="3"/>
        <v>ORD20021945779C48946Laptop61.97457 Main StCashDeliveredTRK99387220</v>
      </c>
    </row>
    <row r="222" spans="1:15" x14ac:dyDescent="0.35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t="str">
        <f t="shared" si="3"/>
        <v>ORD20022045125C79506Laptop373.17497 Main StCredit CardPendingTRK95188748</v>
      </c>
    </row>
    <row r="223" spans="1:15" x14ac:dyDescent="0.35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t="str">
        <f t="shared" si="3"/>
        <v>ORD20022145345C93473Tablet639.37552 Main StDebit CardPendingTRK50003989</v>
      </c>
    </row>
    <row r="224" spans="1:15" x14ac:dyDescent="0.35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 t="str">
        <f t="shared" si="3"/>
        <v>ORD20022245050C43124Chair693.36931 Main StOnlineShippedTRK17293348</v>
      </c>
    </row>
    <row r="225" spans="1:15" x14ac:dyDescent="0.35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t="str">
        <f t="shared" si="3"/>
        <v>ORD20022345546C22783Phone692.91673 Main StCredit CardPendingTRK55009149</v>
      </c>
    </row>
    <row r="226" spans="1:15" x14ac:dyDescent="0.35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t="str">
        <f t="shared" si="3"/>
        <v>ORD20022445192C18567Printer91.46507 Main StCashCancelledTRK17554673</v>
      </c>
    </row>
    <row r="227" spans="1:15" x14ac:dyDescent="0.35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t="str">
        <f t="shared" si="3"/>
        <v>ORD20022545364C99879Phone273.96692 Main StDebit CardReturnedTRK50246700</v>
      </c>
    </row>
    <row r="228" spans="1:15" x14ac:dyDescent="0.35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 t="str">
        <f t="shared" si="3"/>
        <v>ORD20022645835C31501Desk588.05242 Main StGift CardDeliveredTRK93063929</v>
      </c>
    </row>
    <row r="229" spans="1:15" x14ac:dyDescent="0.35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t="str">
        <f t="shared" si="3"/>
        <v>ORD20022745232C93220Monitor365.17353 Main StOnlineCancelledTRK89023251</v>
      </c>
    </row>
    <row r="230" spans="1:15" x14ac:dyDescent="0.35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 t="str">
        <f t="shared" si="3"/>
        <v>ORD20022845063C57867Chair385.92579 Main StCredit CardCancelledTRK92055007</v>
      </c>
    </row>
    <row r="231" spans="1:15" x14ac:dyDescent="0.35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t="str">
        <f t="shared" si="3"/>
        <v>ORD20022945744C62622Tablet562.61762 Main StCredit CardDeliveredTRK70997648</v>
      </c>
    </row>
    <row r="232" spans="1:15" x14ac:dyDescent="0.35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t="str">
        <f t="shared" si="3"/>
        <v>ORD20023045276C94595Desk61.91948 Main StGift CardDeliveredTRK24497305</v>
      </c>
    </row>
    <row r="233" spans="1:15" x14ac:dyDescent="0.35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t="str">
        <f t="shared" si="3"/>
        <v>ORD20023145235C30955Phone41.9327 Main StGift CardPendingTRK46898848</v>
      </c>
    </row>
    <row r="234" spans="1:15" x14ac:dyDescent="0.35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t="str">
        <f t="shared" si="3"/>
        <v>ORD20023245065C20731Printer444.44610 Main StDebit CardCancelledTRK75568437</v>
      </c>
    </row>
    <row r="235" spans="1:15" x14ac:dyDescent="0.35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t="str">
        <f t="shared" si="3"/>
        <v>ORD20023345528C30168Phone311.33146 Main StCashCancelledTRK73699939</v>
      </c>
    </row>
    <row r="236" spans="1:15" x14ac:dyDescent="0.35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t="str">
        <f t="shared" si="3"/>
        <v>ORD20023445622C79842Printer236.41337 Main StDebit CardPendingTRK26957950</v>
      </c>
    </row>
    <row r="237" spans="1:15" x14ac:dyDescent="0.35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t="str">
        <f t="shared" si="3"/>
        <v>ORD20023544977C32854Desk65.45815 Main StCashPendingTRK30009218</v>
      </c>
    </row>
    <row r="238" spans="1:15" x14ac:dyDescent="0.35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t="str">
        <f t="shared" si="3"/>
        <v>ORD20023644927C14847Monitor318.81562 Main StDebit CardPendingTRK39663243</v>
      </c>
    </row>
    <row r="239" spans="1:15" x14ac:dyDescent="0.35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t="str">
        <f t="shared" si="3"/>
        <v>ORD20023745365C88645Monitor583.72783 Main StCredit CardShippedTRK74097570</v>
      </c>
    </row>
    <row r="240" spans="1:15" x14ac:dyDescent="0.35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t="str">
        <f t="shared" si="3"/>
        <v>ORD20023845639C66149Desk384.32770 Main StCredit CardPendingTRK76307307</v>
      </c>
    </row>
    <row r="241" spans="1:15" x14ac:dyDescent="0.35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t="str">
        <f t="shared" si="3"/>
        <v>ORD20023945637C20256Tablet538.74456 Main StOnlineShippedTRK71127943</v>
      </c>
    </row>
    <row r="242" spans="1:15" x14ac:dyDescent="0.35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t="str">
        <f t="shared" si="3"/>
        <v>ORD20024045119C14983Tablet17.24255 Main StOnlinePendingTRK93444157</v>
      </c>
    </row>
    <row r="243" spans="1:15" x14ac:dyDescent="0.35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t="str">
        <f t="shared" si="3"/>
        <v>ORD20024145062C20817Chair615.67407 Main StOnlinePendingTRK44164590</v>
      </c>
    </row>
    <row r="244" spans="1:15" x14ac:dyDescent="0.35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t="str">
        <f t="shared" si="3"/>
        <v>ORD20024245055C94921Printer219.1134 Main StOnlinePendingTRK97794327</v>
      </c>
    </row>
    <row r="245" spans="1:15" x14ac:dyDescent="0.35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t="str">
        <f t="shared" si="3"/>
        <v>ORD20024345786C54725Chair144.66506 Main StOnlineCancelledTRK30601940</v>
      </c>
    </row>
    <row r="246" spans="1:15" x14ac:dyDescent="0.35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t="str">
        <f t="shared" si="3"/>
        <v>ORD20024444973C98096Desk317.77838 Main StDebit CardCancelledTRK51518631</v>
      </c>
    </row>
    <row r="247" spans="1:15" x14ac:dyDescent="0.35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 t="str">
        <f t="shared" si="3"/>
        <v>ORD20024545767C12667Laptop223.3306 Main StOnlineReturnedTRK25390491</v>
      </c>
    </row>
    <row r="248" spans="1:15" x14ac:dyDescent="0.35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t="str">
        <f t="shared" si="3"/>
        <v>ORD20024645534C55354Desk342.11164 Main StGift CardShippedTRK15439493</v>
      </c>
    </row>
    <row r="249" spans="1:15" x14ac:dyDescent="0.35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 t="str">
        <f t="shared" si="3"/>
        <v>ORD20024745127C14600Printer220.9785 Main StGift CardShippedTRK84984764</v>
      </c>
    </row>
    <row r="250" spans="1:15" x14ac:dyDescent="0.35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t="str">
        <f t="shared" si="3"/>
        <v>ORD20024845109C97187Laptop670.54471 Main StCashShippedTRK62283713</v>
      </c>
    </row>
    <row r="251" spans="1:15" x14ac:dyDescent="0.35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t="str">
        <f t="shared" si="3"/>
        <v>ORD20024945329C39106Printer546.19245 Main StCashPendingTRK35464433</v>
      </c>
    </row>
    <row r="252" spans="1:15" x14ac:dyDescent="0.35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t="str">
        <f t="shared" si="3"/>
        <v>ORD20025045021C93379Desk42.95318 Main StGift CardReturnedTRK67954150</v>
      </c>
    </row>
    <row r="253" spans="1:15" x14ac:dyDescent="0.35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 t="str">
        <f t="shared" si="3"/>
        <v>ORD20025145792C93175Monitor14.69814 Main StCashCancelledTRK32995144</v>
      </c>
    </row>
    <row r="254" spans="1:15" x14ac:dyDescent="0.35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t="str">
        <f t="shared" si="3"/>
        <v>ORD20025245555C19648Phone668.36821 Main StGift CardCancelledTRK51297879</v>
      </c>
    </row>
    <row r="255" spans="1:15" x14ac:dyDescent="0.35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t="str">
        <f t="shared" si="3"/>
        <v>ORD20025345374C14891Chair413.74743 Main StGift CardReturnedTRK79471534</v>
      </c>
    </row>
    <row r="256" spans="1:15" x14ac:dyDescent="0.35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 t="str">
        <f t="shared" si="3"/>
        <v>ORD20025445286C10866Monitor263.19770 Main StOnlineDeliveredTRK34809583</v>
      </c>
    </row>
    <row r="257" spans="1:15" x14ac:dyDescent="0.35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t="str">
        <f t="shared" si="3"/>
        <v>ORD20025545425C47283Monitor263.96806 Main StGift CardReturnedTRK56235117</v>
      </c>
    </row>
    <row r="258" spans="1:15" x14ac:dyDescent="0.35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t="str">
        <f t="shared" si="3"/>
        <v>ORD20025645838C94323Chair75.81463 Main StGift CardReturnedTRK22663277</v>
      </c>
    </row>
    <row r="259" spans="1:15" x14ac:dyDescent="0.35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t="str">
        <f t="shared" ref="O259:O322" si="4">A259&amp;B259&amp;C259&amp;D259&amp;F259&amp;G259&amp;H259&amp;I259&amp;J259</f>
        <v>ORD20025745405C89732Phone406.22712 Main StCredit CardCancelledTRK41059233</v>
      </c>
    </row>
    <row r="260" spans="1:15" x14ac:dyDescent="0.35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t="str">
        <f t="shared" si="4"/>
        <v>ORD20025845348C87764Tablet103.41294 Main StOnlineShippedTRK94082469</v>
      </c>
    </row>
    <row r="261" spans="1:15" x14ac:dyDescent="0.35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t="str">
        <f t="shared" si="4"/>
        <v>ORD20025945088C20977Chair435.12636 Main StCredit CardDeliveredTRK54991561</v>
      </c>
    </row>
    <row r="262" spans="1:15" x14ac:dyDescent="0.35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 t="str">
        <f t="shared" si="4"/>
        <v>ORD20026045063C12245Monitor407.79153 Main StDebit CardShippedTRK22000463</v>
      </c>
    </row>
    <row r="263" spans="1:15" x14ac:dyDescent="0.35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t="str">
        <f t="shared" si="4"/>
        <v>ORD20026145805C68976Phone173.65460 Main StGift CardDeliveredTRK25491356</v>
      </c>
    </row>
    <row r="264" spans="1:15" x14ac:dyDescent="0.35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t="str">
        <f t="shared" si="4"/>
        <v>ORD20026244936C69476Phone249.07642 Main StCredit CardReturnedTRK65869386</v>
      </c>
    </row>
    <row r="265" spans="1:15" x14ac:dyDescent="0.35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t="str">
        <f t="shared" si="4"/>
        <v>ORD20026345010C71040Phone434.85250 Main StCredit CardPendingTRK41397604</v>
      </c>
    </row>
    <row r="266" spans="1:15" x14ac:dyDescent="0.35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t="str">
        <f t="shared" si="4"/>
        <v>ORD20026445507C71035Tablet436.77977 Main StCashReturnedTRK19599578</v>
      </c>
    </row>
    <row r="267" spans="1:15" x14ac:dyDescent="0.35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t="str">
        <f t="shared" si="4"/>
        <v>ORD20026545282C20752Printer572.13150 Main StDebit CardCancelledTRK22298450</v>
      </c>
    </row>
    <row r="268" spans="1:15" x14ac:dyDescent="0.35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t="str">
        <f t="shared" si="4"/>
        <v>ORD20026645451C38840Chair583.07589 Main StCredit CardCancelledTRK48484633</v>
      </c>
    </row>
    <row r="269" spans="1:15" x14ac:dyDescent="0.35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 t="str">
        <f t="shared" si="4"/>
        <v>ORD20026745764C84480Chair468.51803 Main StDebit CardDeliveredTRK62361867</v>
      </c>
    </row>
    <row r="270" spans="1:15" x14ac:dyDescent="0.35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t="str">
        <f t="shared" si="4"/>
        <v>ORD20026845149C37032Phone423.88655 Main StDebit CardDeliveredTRK48639226</v>
      </c>
    </row>
    <row r="271" spans="1:15" x14ac:dyDescent="0.35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t="str">
        <f t="shared" si="4"/>
        <v>ORD20026945255C48942Tablet663.67129 Main StCredit CardPendingTRK29355120</v>
      </c>
    </row>
    <row r="272" spans="1:15" x14ac:dyDescent="0.35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t="str">
        <f t="shared" si="4"/>
        <v>ORD20027045081C13540Printer309.91127 Main StDebit CardShippedTRK81087373</v>
      </c>
    </row>
    <row r="273" spans="1:15" x14ac:dyDescent="0.35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t="str">
        <f t="shared" si="4"/>
        <v>ORD20027145013C59572Monitor542.07791 Main StCashShippedTRK16792991</v>
      </c>
    </row>
    <row r="274" spans="1:15" x14ac:dyDescent="0.35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t="str">
        <f t="shared" si="4"/>
        <v>ORD20027245188C29758Chair399.32119 Main StOnlinePendingTRK12990043</v>
      </c>
    </row>
    <row r="275" spans="1:15" x14ac:dyDescent="0.35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t="str">
        <f t="shared" si="4"/>
        <v>ORD20027345592C11849Tablet238.25974 Main StOnlineCancelledTRK91195261</v>
      </c>
    </row>
    <row r="276" spans="1:15" x14ac:dyDescent="0.35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t="str">
        <f t="shared" si="4"/>
        <v>ORD20027444961C50967Phone182.4884 Main StGift CardCancelledTRK65300814</v>
      </c>
    </row>
    <row r="277" spans="1:15" x14ac:dyDescent="0.35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t="str">
        <f t="shared" si="4"/>
        <v>ORD20027545234C80735Chair65.07360 Main StCredit CardCancelledTRK99880231</v>
      </c>
    </row>
    <row r="278" spans="1:15" x14ac:dyDescent="0.35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t="str">
        <f t="shared" si="4"/>
        <v>ORD20027645745C99050Printer600.57654 Main StDebit CardReturnedTRK56927089</v>
      </c>
    </row>
    <row r="279" spans="1:15" x14ac:dyDescent="0.35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t="str">
        <f t="shared" si="4"/>
        <v>ORD20027745544C11210Chair90.92910 Main StCredit CardDeliveredTRK44929965</v>
      </c>
    </row>
    <row r="280" spans="1:15" x14ac:dyDescent="0.35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t="str">
        <f t="shared" si="4"/>
        <v>ORD20027845614C46015Laptop362.46299 Main StCashDeliveredTRK46598430</v>
      </c>
    </row>
    <row r="281" spans="1:15" x14ac:dyDescent="0.35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t="str">
        <f t="shared" si="4"/>
        <v>ORD20027945219C69167Chair55.01263 Main StOnlinePendingTRK12425655</v>
      </c>
    </row>
    <row r="282" spans="1:15" x14ac:dyDescent="0.35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t="str">
        <f t="shared" si="4"/>
        <v>ORD20028045012C55388Tablet404.62740 Main StGift CardDeliveredTRK75741001</v>
      </c>
    </row>
    <row r="283" spans="1:15" x14ac:dyDescent="0.35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 t="str">
        <f t="shared" si="4"/>
        <v>ORD20028145134C87181Desk654.79195 Main StCashPendingTRK60093390</v>
      </c>
    </row>
    <row r="284" spans="1:15" x14ac:dyDescent="0.35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t="str">
        <f t="shared" si="4"/>
        <v>ORD20028245769C30411Printer637.79375 Main StGift CardCancelledTRK71810536</v>
      </c>
    </row>
    <row r="285" spans="1:15" x14ac:dyDescent="0.35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 t="str">
        <f t="shared" si="4"/>
        <v>ORD20028345716C39638Laptop540.33990 Main StCashShippedTRK69745608</v>
      </c>
    </row>
    <row r="286" spans="1:15" x14ac:dyDescent="0.35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t="str">
        <f t="shared" si="4"/>
        <v>ORD20028444973C27203Laptop208.17516 Main StCredit CardReturnedTRK22023906</v>
      </c>
    </row>
    <row r="287" spans="1:15" x14ac:dyDescent="0.35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 t="str">
        <f t="shared" si="4"/>
        <v>ORD20028545818C67583Phone338.31974 Main StOnlineDeliveredTRK93281700</v>
      </c>
    </row>
    <row r="288" spans="1:15" x14ac:dyDescent="0.35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t="str">
        <f t="shared" si="4"/>
        <v>ORD20028645754C70554Monitor139.45187 Main StGift CardReturnedTRK61086952</v>
      </c>
    </row>
    <row r="289" spans="1:15" x14ac:dyDescent="0.35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 t="str">
        <f t="shared" si="4"/>
        <v>ORD20028745254C70437Chair655.18630 Main StOnlineShippedTRK26628830</v>
      </c>
    </row>
    <row r="290" spans="1:15" x14ac:dyDescent="0.35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t="str">
        <f t="shared" si="4"/>
        <v>ORD20028844997C97643Laptop512.75537 Main StDebit CardReturnedTRK60831391</v>
      </c>
    </row>
    <row r="291" spans="1:15" x14ac:dyDescent="0.35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t="str">
        <f t="shared" si="4"/>
        <v>ORD20028945133C17136Chair160.49333 Main StCredit CardShippedTRK55362541</v>
      </c>
    </row>
    <row r="292" spans="1:15" x14ac:dyDescent="0.35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t="str">
        <f t="shared" si="4"/>
        <v>ORD20029045051C24901Chair99.9258 Main StCashDeliveredTRK14029489</v>
      </c>
    </row>
    <row r="293" spans="1:15" x14ac:dyDescent="0.35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t="str">
        <f t="shared" si="4"/>
        <v>ORD20029145424C61521Phone345.01670 Main StCredit CardDeliveredTRK93676567</v>
      </c>
    </row>
    <row r="294" spans="1:15" x14ac:dyDescent="0.35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 t="str">
        <f t="shared" si="4"/>
        <v>ORD20029245672C39639Monitor65.95185 Main StCredit CardDeliveredTRK31042152</v>
      </c>
    </row>
    <row r="295" spans="1:15" x14ac:dyDescent="0.35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 t="str">
        <f t="shared" si="4"/>
        <v>ORD20029344973C33220Tablet463.04564 Main StGift CardReturnedTRK40450219</v>
      </c>
    </row>
    <row r="296" spans="1:15" x14ac:dyDescent="0.35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t="str">
        <f t="shared" si="4"/>
        <v>ORD20029445748C65414Phone297.71208 Main StOnlineShippedTRK67562517</v>
      </c>
    </row>
    <row r="297" spans="1:15" x14ac:dyDescent="0.35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t="str">
        <f t="shared" si="4"/>
        <v>ORD20029544951C49009Printer107.48278 Main StDebit CardCancelledTRK46285799</v>
      </c>
    </row>
    <row r="298" spans="1:15" x14ac:dyDescent="0.35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t="str">
        <f t="shared" si="4"/>
        <v>ORD20029645462C48453Desk638.8434 Main StDebit CardCancelledTRK52110494</v>
      </c>
    </row>
    <row r="299" spans="1:15" x14ac:dyDescent="0.35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t="str">
        <f t="shared" si="4"/>
        <v>ORD20029744979C68078Desk493.88252 Main StCredit CardReturnedTRK64862812</v>
      </c>
    </row>
    <row r="300" spans="1:15" x14ac:dyDescent="0.35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 t="str">
        <f t="shared" si="4"/>
        <v>ORD20029845279C19402Printer301.17267 Main StOnlineCancelledTRK97825212</v>
      </c>
    </row>
    <row r="301" spans="1:15" x14ac:dyDescent="0.35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t="str">
        <f t="shared" si="4"/>
        <v>ORD20029945311C30711Monitor278.66856 Main StGift CardCancelledTRK42696593</v>
      </c>
    </row>
    <row r="302" spans="1:15" x14ac:dyDescent="0.35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t="str">
        <f t="shared" si="4"/>
        <v>ORD20030045537C39000Phone287.46894 Main StDebit CardReturnedTRK33753945</v>
      </c>
    </row>
    <row r="303" spans="1:15" x14ac:dyDescent="0.35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t="str">
        <f t="shared" si="4"/>
        <v>ORD20030145057C31105Chair583.99726 Main StCashCancelledTRK40149095</v>
      </c>
    </row>
    <row r="304" spans="1:15" x14ac:dyDescent="0.35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t="str">
        <f t="shared" si="4"/>
        <v>ORD20030245062C29432Chair468.74121 Main StCashPendingTRK44142517</v>
      </c>
    </row>
    <row r="305" spans="1:15" x14ac:dyDescent="0.35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 t="str">
        <f t="shared" si="4"/>
        <v>ORD20030345633C48531Tablet30.54368 Main StDebit CardReturnedTRK95462192</v>
      </c>
    </row>
    <row r="306" spans="1:15" x14ac:dyDescent="0.35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t="str">
        <f t="shared" si="4"/>
        <v>ORD20030445583C86762Monitor408.73326 Main StGift CardDeliveredTRK75686292</v>
      </c>
    </row>
    <row r="307" spans="1:15" x14ac:dyDescent="0.35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t="str">
        <f t="shared" si="4"/>
        <v>ORD20030545255C63822Laptop126.89235 Main StCashPendingTRK59353216</v>
      </c>
    </row>
    <row r="308" spans="1:15" x14ac:dyDescent="0.35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t="str">
        <f t="shared" si="4"/>
        <v>ORD20030645450C70495Printer57.07238 Main StDebit CardReturnedTRK65511225</v>
      </c>
    </row>
    <row r="309" spans="1:15" x14ac:dyDescent="0.35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 t="str">
        <f t="shared" si="4"/>
        <v>ORD20030745108C92407Laptop557.41135 Main StOnlineDeliveredTRK11755610</v>
      </c>
    </row>
    <row r="310" spans="1:15" x14ac:dyDescent="0.35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t="str">
        <f t="shared" si="4"/>
        <v>ORD20030845271C75888Printer448.9790 Main StDebit CardReturnedTRK98467398</v>
      </c>
    </row>
    <row r="311" spans="1:15" x14ac:dyDescent="0.35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t="str">
        <f t="shared" si="4"/>
        <v>ORD20030945202C63153Chair549.76625 Main StDebit CardDeliveredTRK38033305</v>
      </c>
    </row>
    <row r="312" spans="1:15" x14ac:dyDescent="0.35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 t="str">
        <f t="shared" si="4"/>
        <v>ORD20031045346C85863Printer132.48968 Main StOnlineShippedTRK16094218</v>
      </c>
    </row>
    <row r="313" spans="1:15" x14ac:dyDescent="0.35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 t="str">
        <f t="shared" si="4"/>
        <v>ORD20031145794C71698Desk489.37274 Main StOnlineReturnedTRK34786818</v>
      </c>
    </row>
    <row r="314" spans="1:15" x14ac:dyDescent="0.35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t="str">
        <f t="shared" si="4"/>
        <v>ORD20031245801C35397Printer66.31579 Main StGift CardPendingTRK64742535</v>
      </c>
    </row>
    <row r="315" spans="1:15" x14ac:dyDescent="0.35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t="str">
        <f t="shared" si="4"/>
        <v>ORD20031345116C67687Chair434.3978 Main StCashDeliveredTRK22838735</v>
      </c>
    </row>
    <row r="316" spans="1:15" x14ac:dyDescent="0.35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t="str">
        <f t="shared" si="4"/>
        <v>ORD20031445203C29931Desk153.09540 Main StOnlineDeliveredTRK48712417</v>
      </c>
    </row>
    <row r="317" spans="1:15" x14ac:dyDescent="0.35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t="str">
        <f t="shared" si="4"/>
        <v>ORD20031545789C59139Tablet91.67301 Main StOnlineCancelledTRK45507090</v>
      </c>
    </row>
    <row r="318" spans="1:15" x14ac:dyDescent="0.35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t="str">
        <f t="shared" si="4"/>
        <v>ORD20031645201C66078Desk275.28101 Main StGift CardShippedTRK86474559</v>
      </c>
    </row>
    <row r="319" spans="1:15" x14ac:dyDescent="0.35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 t="str">
        <f t="shared" si="4"/>
        <v>ORD20031745026C88370Monitor139.95339 Main StOnlineReturnedTRK22575151</v>
      </c>
    </row>
    <row r="320" spans="1:15" x14ac:dyDescent="0.35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t="str">
        <f t="shared" si="4"/>
        <v>ORD20031845500C93375Chair148.72317 Main StDebit CardCancelledTRK95706967</v>
      </c>
    </row>
    <row r="321" spans="1:15" x14ac:dyDescent="0.35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 t="str">
        <f t="shared" si="4"/>
        <v>ORD20031945262C53049Laptop563.06413 Main StCashReturnedTRK48974907</v>
      </c>
    </row>
    <row r="322" spans="1:15" x14ac:dyDescent="0.35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t="str">
        <f t="shared" si="4"/>
        <v>ORD20032045645C55590Printer625.51772 Main StCredit CardShippedTRK48792951</v>
      </c>
    </row>
    <row r="323" spans="1:15" x14ac:dyDescent="0.35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t="str">
        <f t="shared" ref="O323:O386" si="5">A323&amp;B323&amp;C323&amp;D323&amp;F323&amp;G323&amp;H323&amp;I323&amp;J323</f>
        <v>ORD20032145147C47086Phone152.29135 Main StDebit CardCancelledTRK44194358</v>
      </c>
    </row>
    <row r="324" spans="1:15" x14ac:dyDescent="0.35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t="str">
        <f t="shared" si="5"/>
        <v>ORD20032245457C48646Phone231.82339 Main StDebit CardDeliveredTRK18233748</v>
      </c>
    </row>
    <row r="325" spans="1:15" x14ac:dyDescent="0.35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t="str">
        <f t="shared" si="5"/>
        <v>ORD20032345683C29416Laptop150.17414 Main StDebit CardReturnedTRK63820842</v>
      </c>
    </row>
    <row r="326" spans="1:15" x14ac:dyDescent="0.35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 t="str">
        <f t="shared" si="5"/>
        <v>ORD20032445456C13525Tablet70.93847 Main StDebit CardReturnedTRK70193221</v>
      </c>
    </row>
    <row r="327" spans="1:15" x14ac:dyDescent="0.35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 t="str">
        <f t="shared" si="5"/>
        <v>ORD20032545106C53545Desk361.39665 Main StCredit CardShippedTRK61123177</v>
      </c>
    </row>
    <row r="328" spans="1:15" x14ac:dyDescent="0.35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t="str">
        <f t="shared" si="5"/>
        <v>ORD20032645474C65986Laptop670.48273 Main StGift CardReturnedTRK98353867</v>
      </c>
    </row>
    <row r="329" spans="1:15" x14ac:dyDescent="0.35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t="str">
        <f t="shared" si="5"/>
        <v>ORD20032745132C17302Phone359.99385 Main StGift CardCancelledTRK43940016</v>
      </c>
    </row>
    <row r="330" spans="1:15" x14ac:dyDescent="0.35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t="str">
        <f t="shared" si="5"/>
        <v>ORD20032844985C18404Tablet674.04546 Main StOnlineCancelledTRK89401624</v>
      </c>
    </row>
    <row r="331" spans="1:15" x14ac:dyDescent="0.35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 t="str">
        <f t="shared" si="5"/>
        <v>ORD20032945651C88371Chair283.16306 Main StCredit CardShippedTRK63224811</v>
      </c>
    </row>
    <row r="332" spans="1:15" x14ac:dyDescent="0.35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t="str">
        <f t="shared" si="5"/>
        <v>ORD20033045445C38068Desk260.53532 Main StGift CardPendingTRK54059198</v>
      </c>
    </row>
    <row r="333" spans="1:15" x14ac:dyDescent="0.35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t="str">
        <f t="shared" si="5"/>
        <v>ORD20033145031C78724Printer422.13187 Main StOnlineDeliveredTRK25703134</v>
      </c>
    </row>
    <row r="334" spans="1:15" x14ac:dyDescent="0.35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t="str">
        <f t="shared" si="5"/>
        <v>ORD20033245476C26163Desk125.02607 Main StDebit CardPendingTRK67499316</v>
      </c>
    </row>
    <row r="335" spans="1:15" x14ac:dyDescent="0.35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t="str">
        <f t="shared" si="5"/>
        <v>ORD20033345398C87124Phone198.51818 Main StCredit CardReturnedTRK52086740</v>
      </c>
    </row>
    <row r="336" spans="1:15" x14ac:dyDescent="0.35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t="str">
        <f t="shared" si="5"/>
        <v>ORD20033445377C90348Chair224.75728 Main StOnlineDeliveredTRK20635777</v>
      </c>
    </row>
    <row r="337" spans="1:15" x14ac:dyDescent="0.35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 t="str">
        <f t="shared" si="5"/>
        <v>ORD20033545719C58721Tablet205.86978 Main StGift CardShippedTRK34801199</v>
      </c>
    </row>
    <row r="338" spans="1:15" x14ac:dyDescent="0.35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t="str">
        <f t="shared" si="5"/>
        <v>ORD20033645289C88174Laptop18.2441 Main StDebit CardPendingTRK10143345</v>
      </c>
    </row>
    <row r="339" spans="1:15" x14ac:dyDescent="0.35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t="str">
        <f t="shared" si="5"/>
        <v>ORD20033745075C77763Tablet502.77599 Main StDebit CardReturnedTRK66980447</v>
      </c>
    </row>
    <row r="340" spans="1:15" x14ac:dyDescent="0.35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 t="str">
        <f t="shared" si="5"/>
        <v>ORD20033845238C53627Phone305.49704 Main StDebit CardShippedTRK64112352</v>
      </c>
    </row>
    <row r="341" spans="1:15" x14ac:dyDescent="0.35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t="str">
        <f t="shared" si="5"/>
        <v>ORD20033945392C84563Printer236.33398 Main StOnlinePendingTRK62422797</v>
      </c>
    </row>
    <row r="342" spans="1:15" x14ac:dyDescent="0.35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 t="str">
        <f t="shared" si="5"/>
        <v>ORD20034045039C76207Laptop521.25826 Main StCashCancelledTRK25569378</v>
      </c>
    </row>
    <row r="343" spans="1:15" x14ac:dyDescent="0.35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t="str">
        <f t="shared" si="5"/>
        <v>ORD20034145558C94671Tablet167.15293 Main StGift CardShippedTRK61357272</v>
      </c>
    </row>
    <row r="344" spans="1:15" x14ac:dyDescent="0.35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 t="str">
        <f t="shared" si="5"/>
        <v>ORD20034245832C69994Monitor466.42619 Main StGift CardReturnedTRK95935805</v>
      </c>
    </row>
    <row r="345" spans="1:15" x14ac:dyDescent="0.35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t="str">
        <f t="shared" si="5"/>
        <v>ORD20034344983C64638Printer527.57919 Main StDebit CardPendingTRK64087938</v>
      </c>
    </row>
    <row r="346" spans="1:15" x14ac:dyDescent="0.35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t="str">
        <f t="shared" si="5"/>
        <v>ORD20034445722C95623Tablet623.34248 Main StOnlineCancelledTRK67558189</v>
      </c>
    </row>
    <row r="347" spans="1:15" x14ac:dyDescent="0.35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t="str">
        <f t="shared" si="5"/>
        <v>ORD20034545267C24751Tablet501.26259 Main StGift CardShippedTRK37285406</v>
      </c>
    </row>
    <row r="348" spans="1:15" x14ac:dyDescent="0.35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 t="str">
        <f t="shared" si="5"/>
        <v>ORD20034645632C31764Tablet655.09876 Main StCashPendingTRK44680433</v>
      </c>
    </row>
    <row r="349" spans="1:15" x14ac:dyDescent="0.35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t="str">
        <f t="shared" si="5"/>
        <v>ORD20034745325C83556Printer264.79380 Main StCredit CardPendingTRK21109187</v>
      </c>
    </row>
    <row r="350" spans="1:15" x14ac:dyDescent="0.35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t="str">
        <f t="shared" si="5"/>
        <v>ORD20034845364C24369Laptop359.73885 Main StDebit CardReturnedTRK72633998</v>
      </c>
    </row>
    <row r="351" spans="1:15" x14ac:dyDescent="0.35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t="str">
        <f t="shared" si="5"/>
        <v>ORD20034945260C39648Chair465.33824 Main StGift CardDeliveredTRK56016905</v>
      </c>
    </row>
    <row r="352" spans="1:15" x14ac:dyDescent="0.35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 t="str">
        <f t="shared" si="5"/>
        <v>ORD20035045080C13296Chair54.41495 Main StOnlineShippedTRK60127216</v>
      </c>
    </row>
    <row r="353" spans="1:15" x14ac:dyDescent="0.35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 t="str">
        <f t="shared" si="5"/>
        <v>ORD20035145703C94248Laptop64.66494 Main StDebit CardDeliveredTRK89406816</v>
      </c>
    </row>
    <row r="354" spans="1:15" x14ac:dyDescent="0.35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t="str">
        <f t="shared" si="5"/>
        <v>ORD20035245169C26637Chair173.96995 Main StDebit CardPendingTRK59546992</v>
      </c>
    </row>
    <row r="355" spans="1:15" x14ac:dyDescent="0.35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t="str">
        <f t="shared" si="5"/>
        <v>ORD20035345744C16012Tablet630.82171 Main StOnlineDeliveredTRK15195225</v>
      </c>
    </row>
    <row r="356" spans="1:15" x14ac:dyDescent="0.35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 t="str">
        <f t="shared" si="5"/>
        <v>ORD20035445118C31772Phone693.41992 Main StDebit CardShippedTRK11970357</v>
      </c>
    </row>
    <row r="357" spans="1:15" x14ac:dyDescent="0.35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t="str">
        <f t="shared" si="5"/>
        <v>ORD20035545811C18353Tablet433.33677 Main StCredit CardCancelledTRK78766533</v>
      </c>
    </row>
    <row r="358" spans="1:15" x14ac:dyDescent="0.35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t="str">
        <f t="shared" si="5"/>
        <v>ORD20035645052C26966Printer374.58907 Main StGift CardCancelledTRK83889574</v>
      </c>
    </row>
    <row r="359" spans="1:15" x14ac:dyDescent="0.35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t="str">
        <f t="shared" si="5"/>
        <v>ORD20035745115C74982Laptop408.56398 Main StDebit CardDeliveredTRK98700702</v>
      </c>
    </row>
    <row r="360" spans="1:15" x14ac:dyDescent="0.35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t="str">
        <f t="shared" si="5"/>
        <v>ORD20035845389C70633Tablet183.67747 Main StOnlineCancelledTRK82540521</v>
      </c>
    </row>
    <row r="361" spans="1:15" x14ac:dyDescent="0.35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t="str">
        <f t="shared" si="5"/>
        <v>ORD20035945086C95643Desk606.57303 Main StDebit CardDeliveredTRK23286689</v>
      </c>
    </row>
    <row r="362" spans="1:15" x14ac:dyDescent="0.35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 t="str">
        <f t="shared" si="5"/>
        <v>ORD20036045449C53810Phone589.57779 Main StCashPendingTRK34630612</v>
      </c>
    </row>
    <row r="363" spans="1:15" x14ac:dyDescent="0.35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t="str">
        <f t="shared" si="5"/>
        <v>ORD20036145472C53464Printer659.85197 Main StCredit CardDeliveredTRK32743531</v>
      </c>
    </row>
    <row r="364" spans="1:15" x14ac:dyDescent="0.35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t="str">
        <f t="shared" si="5"/>
        <v>ORD20036245104C53697Monitor206.84312 Main StCashCancelledTRK60476656</v>
      </c>
    </row>
    <row r="365" spans="1:15" x14ac:dyDescent="0.35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t="str">
        <f t="shared" si="5"/>
        <v>ORD20036345436C31668Laptop113.87871 Main StCredit CardPendingTRK42584392</v>
      </c>
    </row>
    <row r="366" spans="1:15" x14ac:dyDescent="0.35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t="str">
        <f t="shared" si="5"/>
        <v>ORD20036445254C85282Phone628.74740 Main StCashCancelledTRK86767206</v>
      </c>
    </row>
    <row r="367" spans="1:15" x14ac:dyDescent="0.35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t="str">
        <f t="shared" si="5"/>
        <v>ORD20036545702C56796Phone678.38607 Main StCredit CardCancelledTRK74263180</v>
      </c>
    </row>
    <row r="368" spans="1:15" x14ac:dyDescent="0.35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 t="str">
        <f t="shared" si="5"/>
        <v>ORD20036644967C95213Printer602.24603 Main StDebit CardPendingTRK40630538</v>
      </c>
    </row>
    <row r="369" spans="1:15" x14ac:dyDescent="0.35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t="str">
        <f t="shared" si="5"/>
        <v>ORD20036745407C13108Laptop658.77712 Main StGift CardPendingTRK82284400</v>
      </c>
    </row>
    <row r="370" spans="1:15" x14ac:dyDescent="0.35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 t="str">
        <f t="shared" si="5"/>
        <v>ORD20036845047C85322Monitor271.02403 Main StCredit CardCancelledTRK89728869</v>
      </c>
    </row>
    <row r="371" spans="1:15" x14ac:dyDescent="0.35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t="str">
        <f t="shared" si="5"/>
        <v>ORD20036945648C43545Monitor375.25216 Main StGift CardPendingTRK73937402</v>
      </c>
    </row>
    <row r="372" spans="1:15" x14ac:dyDescent="0.35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t="str">
        <f t="shared" si="5"/>
        <v>ORD20037045780C80649Phone312.11870 Main StOnlineCancelledTRK41143313</v>
      </c>
    </row>
    <row r="373" spans="1:15" x14ac:dyDescent="0.35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t="str">
        <f t="shared" si="5"/>
        <v>ORD20037144931C59752Phone307.76179 Main StGift CardPendingTRK82229639</v>
      </c>
    </row>
    <row r="374" spans="1:15" x14ac:dyDescent="0.35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 t="str">
        <f t="shared" si="5"/>
        <v>ORD20037245702C53645Chair483.53166 Main StCashReturnedTRK12123939</v>
      </c>
    </row>
    <row r="375" spans="1:15" x14ac:dyDescent="0.35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t="str">
        <f t="shared" si="5"/>
        <v>ORD20037344928C60178Laptop341.15969 Main StCashPendingTRK84505143</v>
      </c>
    </row>
    <row r="376" spans="1:15" x14ac:dyDescent="0.35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t="str">
        <f t="shared" si="5"/>
        <v>ORD20037445551C20286Monitor571.9129 Main StGift CardPendingTRK67648338</v>
      </c>
    </row>
    <row r="377" spans="1:15" x14ac:dyDescent="0.35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t="str">
        <f t="shared" si="5"/>
        <v>ORD20037545673C87547Monitor95.03400 Main StOnlineShippedTRK71027262</v>
      </c>
    </row>
    <row r="378" spans="1:15" x14ac:dyDescent="0.35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t="str">
        <f t="shared" si="5"/>
        <v>ORD20037645162C64549Monitor201.22341 Main StDebit CardPendingTRK20788231</v>
      </c>
    </row>
    <row r="379" spans="1:15" x14ac:dyDescent="0.35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t="str">
        <f t="shared" si="5"/>
        <v>ORD20037745495C24884Monitor260.26625 Main StOnlinePendingTRK44538419</v>
      </c>
    </row>
    <row r="380" spans="1:15" x14ac:dyDescent="0.35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t="str">
        <f t="shared" si="5"/>
        <v>ORD20037845323C62666Chair64.5148 Main StCredit CardPendingTRK91029390</v>
      </c>
    </row>
    <row r="381" spans="1:15" x14ac:dyDescent="0.35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 t="str">
        <f t="shared" si="5"/>
        <v>ORD20037945556C47284Phone297.67500 Main StOnlineShippedTRK85756094</v>
      </c>
    </row>
    <row r="382" spans="1:15" x14ac:dyDescent="0.35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t="str">
        <f t="shared" si="5"/>
        <v>ORD20038045402C35355Printer331.9127 Main StCashPendingTRK52935059</v>
      </c>
    </row>
    <row r="383" spans="1:15" x14ac:dyDescent="0.35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t="str">
        <f t="shared" si="5"/>
        <v>ORD20038145084C29467Chair191.76223 Main StCredit CardReturnedTRK98103385</v>
      </c>
    </row>
    <row r="384" spans="1:15" x14ac:dyDescent="0.35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t="str">
        <f t="shared" si="5"/>
        <v>ORD20038245687C26718Printer263.09272 Main StDebit CardShippedTRK91702525</v>
      </c>
    </row>
    <row r="385" spans="1:15" x14ac:dyDescent="0.35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t="str">
        <f t="shared" si="5"/>
        <v>ORD20038344946C18944Chair393.8837 Main StCredit CardPendingTRK45275439</v>
      </c>
    </row>
    <row r="386" spans="1:15" x14ac:dyDescent="0.35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t="str">
        <f t="shared" si="5"/>
        <v>ORD20038445620C35628Chair553.57147 Main StCredit CardReturnedTRK45688220</v>
      </c>
    </row>
    <row r="387" spans="1:15" x14ac:dyDescent="0.35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t="str">
        <f t="shared" ref="O387:O450" si="6">A387&amp;B387&amp;C387&amp;D387&amp;F387&amp;G387&amp;H387&amp;I387&amp;J387</f>
        <v>ORD20038545230C56851Chair191.63752 Main StGift CardDeliveredTRK65290904</v>
      </c>
    </row>
    <row r="388" spans="1:15" x14ac:dyDescent="0.35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 t="str">
        <f t="shared" si="6"/>
        <v>ORD20038645044C12421Tablet93.02373 Main StOnlineReturnedTRK32588504</v>
      </c>
    </row>
    <row r="389" spans="1:15" x14ac:dyDescent="0.35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t="str">
        <f t="shared" si="6"/>
        <v>ORD20038745470C25316Printer39.53904 Main StCredit CardShippedTRK55423551</v>
      </c>
    </row>
    <row r="390" spans="1:15" x14ac:dyDescent="0.35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t="str">
        <f t="shared" si="6"/>
        <v>ORD20038845288C22657Printer633.97152 Main StCashPendingTRK49157047</v>
      </c>
    </row>
    <row r="391" spans="1:15" x14ac:dyDescent="0.35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t="str">
        <f t="shared" si="6"/>
        <v>ORD20038945277C29703Desk697.5558 Main StCashShippedTRK40543461</v>
      </c>
    </row>
    <row r="392" spans="1:15" x14ac:dyDescent="0.35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t="str">
        <f t="shared" si="6"/>
        <v>ORD20039045121C55996Printer508.69885 Main StCashDeliveredTRK30547638</v>
      </c>
    </row>
    <row r="393" spans="1:15" x14ac:dyDescent="0.35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t="str">
        <f t="shared" si="6"/>
        <v>ORD20039145673C60037Laptop527.46516 Main StDebit CardCancelledTRK82009557</v>
      </c>
    </row>
    <row r="394" spans="1:15" x14ac:dyDescent="0.35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t="str">
        <f t="shared" si="6"/>
        <v>ORD20039245350C95100Phone627.2197 Main StOnlineDeliveredTRK47366265</v>
      </c>
    </row>
    <row r="395" spans="1:15" x14ac:dyDescent="0.35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 t="str">
        <f t="shared" si="6"/>
        <v>ORD20039345487C39906Printer75.01921 Main StCredit CardReturnedTRK24632134</v>
      </c>
    </row>
    <row r="396" spans="1:15" x14ac:dyDescent="0.35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 t="str">
        <f t="shared" si="6"/>
        <v>ORD20039445112C70148Desk529.55359 Main StGift CardShippedTRK34848650</v>
      </c>
    </row>
    <row r="397" spans="1:15" x14ac:dyDescent="0.35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t="str">
        <f t="shared" si="6"/>
        <v>ORD20039545772C30010Phone127.41830 Main StGift CardDeliveredTRK35386084</v>
      </c>
    </row>
    <row r="398" spans="1:15" x14ac:dyDescent="0.35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t="str">
        <f t="shared" si="6"/>
        <v>ORD20039645261C99217Tablet287.13778 Main StOnlineShippedTRK82004594</v>
      </c>
    </row>
    <row r="399" spans="1:15" x14ac:dyDescent="0.35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t="str">
        <f t="shared" si="6"/>
        <v>ORD20039745197C30184Monitor427.06987 Main StOnlineCancelledTRK86674704</v>
      </c>
    </row>
    <row r="400" spans="1:15" x14ac:dyDescent="0.35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t="str">
        <f t="shared" si="6"/>
        <v>ORD20039845539C50275Phone53.93729 Main StGift CardShippedTRK98925264</v>
      </c>
    </row>
    <row r="401" spans="1:15" x14ac:dyDescent="0.35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t="str">
        <f t="shared" si="6"/>
        <v>ORD20039945298C64641Tablet423.93319 Main StDebit CardReturnedTRK32012588</v>
      </c>
    </row>
    <row r="402" spans="1:15" x14ac:dyDescent="0.35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t="str">
        <f t="shared" si="6"/>
        <v>ORD20040045563C56266Desk160.22304 Main StDebit CardReturnedTRK60088901</v>
      </c>
    </row>
    <row r="403" spans="1:15" x14ac:dyDescent="0.35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 t="str">
        <f t="shared" si="6"/>
        <v>ORD20040145756C98635Printer538.68197 Main StDebit CardReturnedTRK14225465</v>
      </c>
    </row>
    <row r="404" spans="1:15" x14ac:dyDescent="0.35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 t="str">
        <f t="shared" si="6"/>
        <v>ORD20040245025C83026Printer337.38858 Main StGift CardShippedTRK79746259</v>
      </c>
    </row>
    <row r="405" spans="1:15" x14ac:dyDescent="0.35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t="str">
        <f t="shared" si="6"/>
        <v>ORD20040345606C28893Tablet620.21740 Main StOnlineReturnedTRK98333066</v>
      </c>
    </row>
    <row r="406" spans="1:15" x14ac:dyDescent="0.35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 t="str">
        <f t="shared" si="6"/>
        <v>ORD20040444994C45482Monitor99.1440 Main StCashDeliveredTRK54571699</v>
      </c>
    </row>
    <row r="407" spans="1:15" x14ac:dyDescent="0.35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t="str">
        <f t="shared" si="6"/>
        <v>ORD20040545683C97774Monitor451.97603 Main StOnlineCancelledTRK64664424</v>
      </c>
    </row>
    <row r="408" spans="1:15" x14ac:dyDescent="0.35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t="str">
        <f t="shared" si="6"/>
        <v>ORD20040645270C11657Tablet66.1572 Main StCashReturnedTRK50284486</v>
      </c>
    </row>
    <row r="409" spans="1:15" x14ac:dyDescent="0.35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t="str">
        <f t="shared" si="6"/>
        <v>ORD20040745151C85993Tablet547.32250 Main StCashReturnedTRK72547640</v>
      </c>
    </row>
    <row r="410" spans="1:15" x14ac:dyDescent="0.35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t="str">
        <f t="shared" si="6"/>
        <v>ORD20040845658C11906Printer412.53536 Main StOnlinePendingTRK31140158</v>
      </c>
    </row>
    <row r="411" spans="1:15" x14ac:dyDescent="0.35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t="str">
        <f t="shared" si="6"/>
        <v>ORD20040945105C45187Desk84.13767 Main StOnlineDeliveredTRK12320793</v>
      </c>
    </row>
    <row r="412" spans="1:15" x14ac:dyDescent="0.35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 t="str">
        <f t="shared" si="6"/>
        <v>ORD20041045309C37375Tablet518.23184 Main StDebit CardShippedTRK52470162</v>
      </c>
    </row>
    <row r="413" spans="1:15" x14ac:dyDescent="0.35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 t="str">
        <f t="shared" si="6"/>
        <v>ORD20041145462C66567Desk39.51981 Main StOnlineShippedTRK21174822</v>
      </c>
    </row>
    <row r="414" spans="1:15" x14ac:dyDescent="0.35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 t="str">
        <f t="shared" si="6"/>
        <v>ORD20041245758C42451Tablet133.01246 Main StCredit CardReturnedTRK31313343</v>
      </c>
    </row>
    <row r="415" spans="1:15" x14ac:dyDescent="0.35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t="str">
        <f t="shared" si="6"/>
        <v>ORD20041345207C13923Tablet118.8123 Main StOnlineDeliveredTRK87598790</v>
      </c>
    </row>
    <row r="416" spans="1:15" x14ac:dyDescent="0.35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t="str">
        <f t="shared" si="6"/>
        <v>ORD20041445781C11829Desk139.57797 Main StCashDeliveredTRK84229257</v>
      </c>
    </row>
    <row r="417" spans="1:15" x14ac:dyDescent="0.35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t="str">
        <f t="shared" si="6"/>
        <v>ORD20041545753C62169Chair184.15655 Main StGift CardShippedTRK64558985</v>
      </c>
    </row>
    <row r="418" spans="1:15" x14ac:dyDescent="0.35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t="str">
        <f t="shared" si="6"/>
        <v>ORD20041645125C20881Laptop644.05652 Main StGift CardCancelledTRK26263902</v>
      </c>
    </row>
    <row r="419" spans="1:15" x14ac:dyDescent="0.35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 t="str">
        <f t="shared" si="6"/>
        <v>ORD20041745223C44492Laptop55.41954 Main StOnlineCancelledTRK51429869</v>
      </c>
    </row>
    <row r="420" spans="1:15" x14ac:dyDescent="0.35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 t="str">
        <f t="shared" si="6"/>
        <v>ORD20041844937C74169Printer310.93862 Main StOnlineCancelledTRK66144809</v>
      </c>
    </row>
    <row r="421" spans="1:15" x14ac:dyDescent="0.35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t="str">
        <f t="shared" si="6"/>
        <v>ORD20041945399C70999Tablet216.66885 Main StDebit CardPendingTRK75644156</v>
      </c>
    </row>
    <row r="422" spans="1:15" x14ac:dyDescent="0.35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t="str">
        <f t="shared" si="6"/>
        <v>ORD20042045625C11921Phone452.7439 Main StDebit CardShippedTRK91362635</v>
      </c>
    </row>
    <row r="423" spans="1:15" x14ac:dyDescent="0.35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 t="str">
        <f t="shared" si="6"/>
        <v>ORD20042145214C50683Chair288.21769 Main StDebit CardCancelledTRK53032122</v>
      </c>
    </row>
    <row r="424" spans="1:15" x14ac:dyDescent="0.35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t="str">
        <f t="shared" si="6"/>
        <v>ORD20042245082C76140Phone206.6914 Main StGift CardReturnedTRK25861469</v>
      </c>
    </row>
    <row r="425" spans="1:15" x14ac:dyDescent="0.35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t="str">
        <f t="shared" si="6"/>
        <v>ORD20042345493C94311Printer685.2195 Main StGift CardCancelledTRK97308771</v>
      </c>
    </row>
    <row r="426" spans="1:15" x14ac:dyDescent="0.35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 t="str">
        <f t="shared" si="6"/>
        <v>ORD20042445028C49491Chair22.94339 Main StCashPendingTRK64012257</v>
      </c>
    </row>
    <row r="427" spans="1:15" x14ac:dyDescent="0.35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t="str">
        <f t="shared" si="6"/>
        <v>ORD20042544994C40648Laptop301.88488 Main StGift CardReturnedTRK25325993</v>
      </c>
    </row>
    <row r="428" spans="1:15" x14ac:dyDescent="0.35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 t="str">
        <f t="shared" si="6"/>
        <v>ORD20042645732C40967Monitor57.45315 Main StCashCancelledTRK24839296</v>
      </c>
    </row>
    <row r="429" spans="1:15" x14ac:dyDescent="0.35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t="str">
        <f t="shared" si="6"/>
        <v>ORD20042745644C25406Desk161.24379 Main StCredit CardPendingTRK70952564</v>
      </c>
    </row>
    <row r="430" spans="1:15" x14ac:dyDescent="0.35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t="str">
        <f t="shared" si="6"/>
        <v>ORD20042845622C77085Chair262.58895 Main StOnlineCancelledTRK57227640</v>
      </c>
    </row>
    <row r="431" spans="1:15" x14ac:dyDescent="0.35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t="str">
        <f t="shared" si="6"/>
        <v>ORD20042945645C38126Printer515.19522 Main StCredit CardPendingTRK90838498</v>
      </c>
    </row>
    <row r="432" spans="1:15" x14ac:dyDescent="0.35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t="str">
        <f t="shared" si="6"/>
        <v>ORD20043045084C87448Phone450.07433 Main StGift CardShippedTRK44134016</v>
      </c>
    </row>
    <row r="433" spans="1:15" x14ac:dyDescent="0.35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t="str">
        <f t="shared" si="6"/>
        <v>ORD20043145571C62312Printer52.54651 Main StDebit CardCancelledTRK59623037</v>
      </c>
    </row>
    <row r="434" spans="1:15" x14ac:dyDescent="0.35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 t="str">
        <f t="shared" si="6"/>
        <v>ORD20043245173C58443Tablet424.32662 Main StCredit CardReturnedTRK77163738</v>
      </c>
    </row>
    <row r="435" spans="1:15" x14ac:dyDescent="0.35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t="str">
        <f t="shared" si="6"/>
        <v>ORD20043345164C36613Monitor631.64785 Main StCredit CardReturnedTRK13282106</v>
      </c>
    </row>
    <row r="436" spans="1:15" x14ac:dyDescent="0.35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 t="str">
        <f t="shared" si="6"/>
        <v>ORD20043445221C73893Printer327.68384 Main StCredit CardReturnedTRK85939879</v>
      </c>
    </row>
    <row r="437" spans="1:15" x14ac:dyDescent="0.35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t="str">
        <f t="shared" si="6"/>
        <v>ORD20043545073C48601Printer414.47101 Main StDebit CardReturnedTRK97868309</v>
      </c>
    </row>
    <row r="438" spans="1:15" x14ac:dyDescent="0.35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 t="str">
        <f t="shared" si="6"/>
        <v>ORD20043644968C14568Laptop221.33651 Main StOnlinePendingTRK73545796</v>
      </c>
    </row>
    <row r="439" spans="1:15" x14ac:dyDescent="0.35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t="str">
        <f t="shared" si="6"/>
        <v>ORD20043745400C63378Phone512.39955 Main StOnlineDeliveredTRK20863705</v>
      </c>
    </row>
    <row r="440" spans="1:15" x14ac:dyDescent="0.35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t="str">
        <f t="shared" si="6"/>
        <v>ORD20043845660C77800Tablet459.34436 Main StGift CardPendingTRK27439574</v>
      </c>
    </row>
    <row r="441" spans="1:15" x14ac:dyDescent="0.35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t="str">
        <f t="shared" si="6"/>
        <v>ORD20043945543C91155Tablet146.32321 Main StOnlineShippedTRK36260319</v>
      </c>
    </row>
    <row r="442" spans="1:15" x14ac:dyDescent="0.35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t="str">
        <f t="shared" si="6"/>
        <v>ORD20044045601C60215Desk83.6978 Main StDebit CardPendingTRK31727767</v>
      </c>
    </row>
    <row r="443" spans="1:15" x14ac:dyDescent="0.35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t="str">
        <f t="shared" si="6"/>
        <v>ORD20044145273C52915Printer328.54475 Main StGift CardReturnedTRK79466982</v>
      </c>
    </row>
    <row r="444" spans="1:15" x14ac:dyDescent="0.35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t="str">
        <f t="shared" si="6"/>
        <v>ORD20044245418C72588Chair314.94661 Main StCashPendingTRK43410829</v>
      </c>
    </row>
    <row r="445" spans="1:15" x14ac:dyDescent="0.35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 t="str">
        <f t="shared" si="6"/>
        <v>ORD20044345426C61668Chair69.64813 Main StCashReturnedTRK58970302</v>
      </c>
    </row>
    <row r="446" spans="1:15" x14ac:dyDescent="0.35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t="str">
        <f t="shared" si="6"/>
        <v>ORD20044445451C79508Printer135.17585 Main StOnlineShippedTRK61882353</v>
      </c>
    </row>
    <row r="447" spans="1:15" x14ac:dyDescent="0.35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t="str">
        <f t="shared" si="6"/>
        <v>ORD20044545374C94569Phone487.21227 Main StCashDeliveredTRK31351770</v>
      </c>
    </row>
    <row r="448" spans="1:15" x14ac:dyDescent="0.35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t="str">
        <f t="shared" si="6"/>
        <v>ORD20044645217C89592Laptop509.58262 Main StOnlineDeliveredTRK49442402</v>
      </c>
    </row>
    <row r="449" spans="1:15" x14ac:dyDescent="0.35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 t="str">
        <f t="shared" si="6"/>
        <v>ORD20044745389C48207Printer416.81356 Main StCashReturnedTRK45355655</v>
      </c>
    </row>
    <row r="450" spans="1:15" x14ac:dyDescent="0.35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t="str">
        <f t="shared" si="6"/>
        <v>ORD20044845173C16776Laptop160854 Main StCashPendingTRK12860600</v>
      </c>
    </row>
    <row r="451" spans="1:15" x14ac:dyDescent="0.35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 t="str">
        <f t="shared" ref="O451:O514" si="7">A451&amp;B451&amp;C451&amp;D451&amp;F451&amp;G451&amp;H451&amp;I451&amp;J451</f>
        <v>ORD20044945530C91518Tablet253.05286 Main StOnlinePendingTRK48688724</v>
      </c>
    </row>
    <row r="452" spans="1:15" x14ac:dyDescent="0.35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t="str">
        <f t="shared" si="7"/>
        <v>ORD20045045306C36408Monitor615.1160 Main StGift CardReturnedTRK94023253</v>
      </c>
    </row>
    <row r="453" spans="1:15" x14ac:dyDescent="0.35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t="str">
        <f t="shared" si="7"/>
        <v>ORD20045145017C14837Monitor183.18647 Main StDebit CardCancelledTRK17501136</v>
      </c>
    </row>
    <row r="454" spans="1:15" x14ac:dyDescent="0.35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t="str">
        <f t="shared" si="7"/>
        <v>ORD20045245130C36467Printer75.78581 Main StCashPendingTRK20863987</v>
      </c>
    </row>
    <row r="455" spans="1:15" x14ac:dyDescent="0.35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t="str">
        <f t="shared" si="7"/>
        <v>ORD20045345779C15017Tablet675.57492 Main StCashShippedTRK51241924</v>
      </c>
    </row>
    <row r="456" spans="1:15" x14ac:dyDescent="0.35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t="str">
        <f t="shared" si="7"/>
        <v>ORD20045445623C54759Laptop109.29686 Main StDebit CardCancelledTRK75583042</v>
      </c>
    </row>
    <row r="457" spans="1:15" x14ac:dyDescent="0.35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t="str">
        <f t="shared" si="7"/>
        <v>ORD20045545377C58341Phone639.83874 Main StDebit CardPendingTRK32856728</v>
      </c>
    </row>
    <row r="458" spans="1:15" x14ac:dyDescent="0.35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t="str">
        <f t="shared" si="7"/>
        <v>ORD20045645103C94479Desk62.81259 Main StCredit CardShippedTRK69089975</v>
      </c>
    </row>
    <row r="459" spans="1:15" x14ac:dyDescent="0.35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t="str">
        <f t="shared" si="7"/>
        <v>ORD20045745802C50236Desk615.83545 Main StOnlineReturnedTRK67692578</v>
      </c>
    </row>
    <row r="460" spans="1:15" x14ac:dyDescent="0.35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t="str">
        <f t="shared" si="7"/>
        <v>ORD20045845475C31412Monitor510.58196 Main StCredit CardReturnedTRK61946127</v>
      </c>
    </row>
    <row r="461" spans="1:15" x14ac:dyDescent="0.35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 t="str">
        <f t="shared" si="7"/>
        <v>ORD20045945497C90142Desk334.39433 Main StCredit CardReturnedTRK39717191</v>
      </c>
    </row>
    <row r="462" spans="1:15" x14ac:dyDescent="0.35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t="str">
        <f t="shared" si="7"/>
        <v>ORD20046045571C83548Laptop144.25474 Main StCashReturnedTRK93822942</v>
      </c>
    </row>
    <row r="463" spans="1:15" x14ac:dyDescent="0.35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t="str">
        <f t="shared" si="7"/>
        <v>ORD20046145451C29697Tablet401.82407 Main StCredit CardShippedTRK47776482</v>
      </c>
    </row>
    <row r="464" spans="1:15" x14ac:dyDescent="0.35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 t="str">
        <f t="shared" si="7"/>
        <v>ORD20046245747C22991Phone252.68731 Main StOnlineCancelledTRK32796086</v>
      </c>
    </row>
    <row r="465" spans="1:15" x14ac:dyDescent="0.35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t="str">
        <f t="shared" si="7"/>
        <v>ORD20046345072C25276Laptop662.78214 Main StDebit CardShippedTRK14011732</v>
      </c>
    </row>
    <row r="466" spans="1:15" x14ac:dyDescent="0.35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t="str">
        <f t="shared" si="7"/>
        <v>ORD20046444999C39176Tablet434.42739 Main StOnlineCancelledTRK71418686</v>
      </c>
    </row>
    <row r="467" spans="1:15" x14ac:dyDescent="0.35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 t="str">
        <f t="shared" si="7"/>
        <v>ORD20046545348C58773Printer513.49391 Main StGift CardCancelledTRK65438300</v>
      </c>
    </row>
    <row r="468" spans="1:15" x14ac:dyDescent="0.35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t="str">
        <f t="shared" si="7"/>
        <v>ORD20046645125C37412Phone432.47895 Main StCashDeliveredTRK97829604</v>
      </c>
    </row>
    <row r="469" spans="1:15" x14ac:dyDescent="0.35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t="str">
        <f t="shared" si="7"/>
        <v>ORD20046745534C36492Desk45.94572 Main StCashCancelledTRK44350440</v>
      </c>
    </row>
    <row r="470" spans="1:15" x14ac:dyDescent="0.35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t="str">
        <f t="shared" si="7"/>
        <v>ORD20046845829C90110Phone418.36998 Main StCredit CardDeliveredTRK60203957</v>
      </c>
    </row>
    <row r="471" spans="1:15" x14ac:dyDescent="0.35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 t="str">
        <f t="shared" si="7"/>
        <v>ORD20046945256C13877Chair676.98893 Main StCashCancelledTRK17254691</v>
      </c>
    </row>
    <row r="472" spans="1:15" x14ac:dyDescent="0.35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t="str">
        <f t="shared" si="7"/>
        <v>ORD20047045198C25149Tablet263.62672 Main StCashShippedTRK33538608</v>
      </c>
    </row>
    <row r="473" spans="1:15" x14ac:dyDescent="0.35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t="str">
        <f t="shared" si="7"/>
        <v>ORD20047145766C52717Desk551.27395 Main StOnlineCancelledTRK27625571</v>
      </c>
    </row>
    <row r="474" spans="1:15" x14ac:dyDescent="0.35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t="str">
        <f t="shared" si="7"/>
        <v>ORD20047244932C60029Chair508.12796 Main StCredit CardCancelledTRK86461316</v>
      </c>
    </row>
    <row r="475" spans="1:15" x14ac:dyDescent="0.35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 t="str">
        <f t="shared" si="7"/>
        <v>ORD20047345713C28552Chair14.93449 Main StOnlineShippedTRK71597160</v>
      </c>
    </row>
    <row r="476" spans="1:15" x14ac:dyDescent="0.35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t="str">
        <f t="shared" si="7"/>
        <v>ORD20047445245C72293Printer229.34398 Main StCredit CardShippedTRK84378003</v>
      </c>
    </row>
    <row r="477" spans="1:15" x14ac:dyDescent="0.35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t="str">
        <f t="shared" si="7"/>
        <v>ORD20047545766C29844Tablet438.62363 Main StCashCancelledTRK91642337</v>
      </c>
    </row>
    <row r="478" spans="1:15" x14ac:dyDescent="0.35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t="str">
        <f t="shared" si="7"/>
        <v>ORD20047645306C77872Phone513.59867 Main StOnlineReturnedTRK19292184</v>
      </c>
    </row>
    <row r="479" spans="1:15" x14ac:dyDescent="0.35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t="str">
        <f t="shared" si="7"/>
        <v>ORD20047745721C56564Phone253.74481 Main StOnlineShippedTRK13166044</v>
      </c>
    </row>
    <row r="480" spans="1:15" x14ac:dyDescent="0.35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t="str">
        <f t="shared" si="7"/>
        <v>ORD20047845597C16758Tablet62.77914 Main StGift CardShippedTRK88544431</v>
      </c>
    </row>
    <row r="481" spans="1:15" x14ac:dyDescent="0.35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 t="str">
        <f t="shared" si="7"/>
        <v>ORD20047944975C87011Monitor25.29943 Main StCredit CardPendingTRK21429162</v>
      </c>
    </row>
    <row r="482" spans="1:15" x14ac:dyDescent="0.35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t="str">
        <f t="shared" si="7"/>
        <v>ORD20048045093C21147Chair335.1126 Main StDebit CardPendingTRK93171043</v>
      </c>
    </row>
    <row r="483" spans="1:15" x14ac:dyDescent="0.35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t="str">
        <f t="shared" si="7"/>
        <v>ORD20048145039C94568Laptop484.85317 Main StDebit CardDeliveredTRK58653915</v>
      </c>
    </row>
    <row r="484" spans="1:15" x14ac:dyDescent="0.35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 t="str">
        <f t="shared" si="7"/>
        <v>ORD20048245718C35852Monitor381.41989 Main StOnlinePendingTRK22302049</v>
      </c>
    </row>
    <row r="485" spans="1:15" x14ac:dyDescent="0.35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t="str">
        <f t="shared" si="7"/>
        <v>ORD20048344944C66462Phone347.92982 Main StCashPendingTRK52743700</v>
      </c>
    </row>
    <row r="486" spans="1:15" x14ac:dyDescent="0.35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 t="str">
        <f t="shared" si="7"/>
        <v>ORD20048445441C29092Chair15.01767 Main StCashCancelledTRK90455340</v>
      </c>
    </row>
    <row r="487" spans="1:15" x14ac:dyDescent="0.35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t="str">
        <f t="shared" si="7"/>
        <v>ORD20048545139C46651Chair404.79764 Main StCashShippedTRK67679195</v>
      </c>
    </row>
    <row r="488" spans="1:15" x14ac:dyDescent="0.35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t="str">
        <f t="shared" si="7"/>
        <v>ORD20048644960C88981Printer611.26558 Main StCashShippedTRK75267873</v>
      </c>
    </row>
    <row r="489" spans="1:15" x14ac:dyDescent="0.35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t="str">
        <f t="shared" si="7"/>
        <v>ORD20048744994C40136Printer346.52211 Main StCredit CardPendingTRK92924852</v>
      </c>
    </row>
    <row r="490" spans="1:15" x14ac:dyDescent="0.35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t="str">
        <f t="shared" si="7"/>
        <v>ORD20048845631C81573Chair36.65556 Main StOnlineCancelledTRK96522994</v>
      </c>
    </row>
    <row r="491" spans="1:15" x14ac:dyDescent="0.35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t="str">
        <f t="shared" si="7"/>
        <v>ORD20048945174C11940Tablet149.34589 Main StGift CardCancelledTRK85466461</v>
      </c>
    </row>
    <row r="492" spans="1:15" x14ac:dyDescent="0.35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 t="str">
        <f t="shared" si="7"/>
        <v>ORD20049045495C50097Chair467.81539 Main StOnlineCancelledTRK62785150</v>
      </c>
    </row>
    <row r="493" spans="1:15" x14ac:dyDescent="0.35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t="str">
        <f t="shared" si="7"/>
        <v>ORD20049144931C98168Phone420.7481 Main StCashPendingTRK56423359</v>
      </c>
    </row>
    <row r="494" spans="1:15" x14ac:dyDescent="0.35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t="str">
        <f t="shared" si="7"/>
        <v>ORD20049245224C39074Laptop606.52103 Main StDebit CardShippedTRK13027036</v>
      </c>
    </row>
    <row r="495" spans="1:15" x14ac:dyDescent="0.35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t="str">
        <f t="shared" si="7"/>
        <v>ORD20049345685C84908Phone420.26372 Main StCredit CardPendingTRK64135970</v>
      </c>
    </row>
    <row r="496" spans="1:15" x14ac:dyDescent="0.35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t="str">
        <f t="shared" si="7"/>
        <v>ORD20049445126C64516Laptop505.79459 Main StDebit CardPendingTRK63920573</v>
      </c>
    </row>
    <row r="497" spans="1:15" x14ac:dyDescent="0.35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t="str">
        <f t="shared" si="7"/>
        <v>ORD20049545813C63827Phone493.73947 Main StDebit CardPendingTRK35730581</v>
      </c>
    </row>
    <row r="498" spans="1:15" x14ac:dyDescent="0.35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t="str">
        <f t="shared" si="7"/>
        <v>ORD20049645730C93618Printer201.21249 Main StOnlineCancelledTRK66129326</v>
      </c>
    </row>
    <row r="499" spans="1:15" x14ac:dyDescent="0.35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 t="str">
        <f t="shared" si="7"/>
        <v>ORD20049745589C93948Printer112.29454 Main StGift CardShippedTRK77358113</v>
      </c>
    </row>
    <row r="500" spans="1:15" x14ac:dyDescent="0.35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t="str">
        <f t="shared" si="7"/>
        <v>ORD20049845119C73961Tablet132.56306 Main StCashReturnedTRK32607173</v>
      </c>
    </row>
    <row r="501" spans="1:15" x14ac:dyDescent="0.35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t="str">
        <f t="shared" si="7"/>
        <v>ORD20049945022C18138Printer539.46520 Main StCredit CardShippedTRK20289483</v>
      </c>
    </row>
    <row r="502" spans="1:15" x14ac:dyDescent="0.35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t="str">
        <f t="shared" si="7"/>
        <v>ORD20050045389C79475Laptop508.59169 Main StCashReturnedTRK42168516</v>
      </c>
    </row>
    <row r="503" spans="1:15" x14ac:dyDescent="0.35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t="str">
        <f t="shared" si="7"/>
        <v>ORD20050145326C88546Desk203.46226 Main StCredit CardPendingTRK19867754</v>
      </c>
    </row>
    <row r="504" spans="1:15" x14ac:dyDescent="0.35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t="str">
        <f t="shared" si="7"/>
        <v>ORD20050245066C69332Monitor565.25745 Main StDebit CardReturnedTRK65718848</v>
      </c>
    </row>
    <row r="505" spans="1:15" x14ac:dyDescent="0.35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t="str">
        <f t="shared" si="7"/>
        <v>ORD20050345169C64554Tablet136.84498 Main StOnlinePendingTRK95384568</v>
      </c>
    </row>
    <row r="506" spans="1:15" x14ac:dyDescent="0.35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t="str">
        <f t="shared" si="7"/>
        <v>ORD20050445819C11676Monitor464.5805 Main StOnlineCancelledTRK35726395</v>
      </c>
    </row>
    <row r="507" spans="1:15" x14ac:dyDescent="0.35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 t="str">
        <f t="shared" si="7"/>
        <v>ORD20050545088C36014Printer434.97558 Main StOnlineShippedTRK97246526</v>
      </c>
    </row>
    <row r="508" spans="1:15" x14ac:dyDescent="0.35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t="str">
        <f t="shared" si="7"/>
        <v>ORD20050645132C23279Monitor43.67696 Main StCashReturnedTRK58039693</v>
      </c>
    </row>
    <row r="509" spans="1:15" x14ac:dyDescent="0.35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t="str">
        <f t="shared" si="7"/>
        <v>ORD20050745112C86481Phone171.59546 Main StCredit CardPendingTRK87513944</v>
      </c>
    </row>
    <row r="510" spans="1:15" x14ac:dyDescent="0.35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 t="str">
        <f t="shared" si="7"/>
        <v>ORD20050845791C39550Phone558.27976 Main StOnlineDeliveredTRK24120267</v>
      </c>
    </row>
    <row r="511" spans="1:15" x14ac:dyDescent="0.35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t="str">
        <f t="shared" si="7"/>
        <v>ORD20050944972C68937Laptop425.03560 Main StCashReturnedTRK31908657</v>
      </c>
    </row>
    <row r="512" spans="1:15" x14ac:dyDescent="0.35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t="str">
        <f t="shared" si="7"/>
        <v>ORD20051045642C72533Printer376.76389 Main StDebit CardDeliveredTRK51288986</v>
      </c>
    </row>
    <row r="513" spans="1:15" x14ac:dyDescent="0.35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t="str">
        <f t="shared" si="7"/>
        <v>ORD20051145366C11415Monitor575.24267 Main StCashDeliveredTRK65061457</v>
      </c>
    </row>
    <row r="514" spans="1:15" x14ac:dyDescent="0.35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t="str">
        <f t="shared" si="7"/>
        <v>ORD20051245562C14114Desk568.02856 Main StOnlinePendingTRK63290700</v>
      </c>
    </row>
    <row r="515" spans="1:15" x14ac:dyDescent="0.35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 t="str">
        <f t="shared" ref="O515:O578" si="8">A515&amp;B515&amp;C515&amp;D515&amp;F515&amp;G515&amp;H515&amp;I515&amp;J515</f>
        <v>ORD20051345697C64128Tablet94.88533 Main StGift CardShippedTRK37053575</v>
      </c>
    </row>
    <row r="516" spans="1:15" x14ac:dyDescent="0.35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t="str">
        <f t="shared" si="8"/>
        <v>ORD20051445032C15629Printer304.15492 Main StGift CardShippedTRK64926044</v>
      </c>
    </row>
    <row r="517" spans="1:15" x14ac:dyDescent="0.35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t="str">
        <f t="shared" si="8"/>
        <v>ORD20051544999C67561Phone553.52160 Main StGift CardShippedTRK75900717</v>
      </c>
    </row>
    <row r="518" spans="1:15" x14ac:dyDescent="0.35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 t="str">
        <f t="shared" si="8"/>
        <v>ORD20051645389C47022Monitor166.99208 Main StCashReturnedTRK28855040</v>
      </c>
    </row>
    <row r="519" spans="1:15" x14ac:dyDescent="0.35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t="str">
        <f t="shared" si="8"/>
        <v>ORD20051745391C55205Tablet198.35943 Main StCashCancelledTRK88141634</v>
      </c>
    </row>
    <row r="520" spans="1:15" x14ac:dyDescent="0.35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t="str">
        <f t="shared" si="8"/>
        <v>ORD20051845821C30686Printer403.58319 Main StOnlinePendingTRK59807273</v>
      </c>
    </row>
    <row r="521" spans="1:15" x14ac:dyDescent="0.35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t="str">
        <f t="shared" si="8"/>
        <v>ORD20051945787C71797Laptop464.29941 Main StDebit CardReturnedTRK66010667</v>
      </c>
    </row>
    <row r="522" spans="1:15" x14ac:dyDescent="0.35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 t="str">
        <f t="shared" si="8"/>
        <v>ORD20052044995C66332Monitor635.98959 Main StCashReturnedTRK27063398</v>
      </c>
    </row>
    <row r="523" spans="1:15" x14ac:dyDescent="0.35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 t="str">
        <f t="shared" si="8"/>
        <v>ORD20052145347C82318Phone528.06991 Main StCredit CardShippedTRK37534165</v>
      </c>
    </row>
    <row r="524" spans="1:15" x14ac:dyDescent="0.35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t="str">
        <f t="shared" si="8"/>
        <v>ORD20052245402C66254Chair515.32740 Main StGift CardCancelledTRK82843861</v>
      </c>
    </row>
    <row r="525" spans="1:15" x14ac:dyDescent="0.35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t="str">
        <f t="shared" si="8"/>
        <v>ORD20052345706C65083Desk657.79652 Main StCredit CardReturnedTRK60937148</v>
      </c>
    </row>
    <row r="526" spans="1:15" x14ac:dyDescent="0.35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 t="str">
        <f t="shared" si="8"/>
        <v>ORD20052445224C44778Phone153103 Main StCredit CardReturnedTRK92617366</v>
      </c>
    </row>
    <row r="527" spans="1:15" x14ac:dyDescent="0.35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t="str">
        <f t="shared" si="8"/>
        <v>ORD20052545263C54499Monitor668.48160 Main StDebit CardShippedTRK18061555</v>
      </c>
    </row>
    <row r="528" spans="1:15" x14ac:dyDescent="0.35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t="str">
        <f t="shared" si="8"/>
        <v>ORD20052645351C91201Desk46.5837 Main StCashReturnedTRK63526023</v>
      </c>
    </row>
    <row r="529" spans="1:15" x14ac:dyDescent="0.35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t="str">
        <f t="shared" si="8"/>
        <v>ORD20052745523C27202Chair653.47967 Main StCredit CardCancelledTRK75406128</v>
      </c>
    </row>
    <row r="530" spans="1:15" x14ac:dyDescent="0.35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t="str">
        <f t="shared" si="8"/>
        <v>ORD20052845714C32011Chair628.89686 Main StCredit CardReturnedTRK70997744</v>
      </c>
    </row>
    <row r="531" spans="1:15" x14ac:dyDescent="0.35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t="str">
        <f t="shared" si="8"/>
        <v>ORD20052945389C21181Tablet675.1938 Main StCashPendingTRK50363421</v>
      </c>
    </row>
    <row r="532" spans="1:15" x14ac:dyDescent="0.35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 t="str">
        <f t="shared" si="8"/>
        <v>ORD20053045491C98450Chair89.41613 Main StOnlinePendingTRK14809530</v>
      </c>
    </row>
    <row r="533" spans="1:15" x14ac:dyDescent="0.35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 t="str">
        <f t="shared" si="8"/>
        <v>ORD20053145475C64502Desk320.01722 Main StGift CardDeliveredTRK14914388</v>
      </c>
    </row>
    <row r="534" spans="1:15" x14ac:dyDescent="0.35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 t="str">
        <f t="shared" si="8"/>
        <v>ORD20053245780C47365Laptop41369 Main StOnlineDeliveredTRK42207882</v>
      </c>
    </row>
    <row r="535" spans="1:15" x14ac:dyDescent="0.35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t="str">
        <f t="shared" si="8"/>
        <v>ORD20053344990C66349Desk565.85715 Main StGift CardReturnedTRK63550793</v>
      </c>
    </row>
    <row r="536" spans="1:15" x14ac:dyDescent="0.35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t="str">
        <f t="shared" si="8"/>
        <v>ORD20053445449C73289Chair648.59906 Main StDebit CardCancelledTRK70872738</v>
      </c>
    </row>
    <row r="537" spans="1:15" x14ac:dyDescent="0.35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t="str">
        <f t="shared" si="8"/>
        <v>ORD20053545497C48649Monitor68.12332 Main StOnlineCancelledTRK45821445</v>
      </c>
    </row>
    <row r="538" spans="1:15" x14ac:dyDescent="0.35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 t="str">
        <f t="shared" si="8"/>
        <v>ORD20053645452C18724Chair616.1124 Main StCashReturnedTRK52508861</v>
      </c>
    </row>
    <row r="539" spans="1:15" x14ac:dyDescent="0.35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t="str">
        <f t="shared" si="8"/>
        <v>ORD20053745739C68553Tablet247.47385 Main StOnlineDeliveredTRK58218971</v>
      </c>
    </row>
    <row r="540" spans="1:15" x14ac:dyDescent="0.35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t="str">
        <f t="shared" si="8"/>
        <v>ORD20053845436C61280Phone490.74100 Main StCashShippedTRK95487711</v>
      </c>
    </row>
    <row r="541" spans="1:15" x14ac:dyDescent="0.35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t="str">
        <f t="shared" si="8"/>
        <v>ORD20053945706C53277Desk531.72473 Main StGift CardDeliveredTRK17653832</v>
      </c>
    </row>
    <row r="542" spans="1:15" x14ac:dyDescent="0.35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 t="str">
        <f t="shared" si="8"/>
        <v>ORD20054045320C87281Laptop648.65852 Main StOnlinePendingTRK81765057</v>
      </c>
    </row>
    <row r="543" spans="1:15" x14ac:dyDescent="0.35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 t="str">
        <f t="shared" si="8"/>
        <v>ORD20054145145C69009Printer456.06879 Main StCashPendingTRK61295842</v>
      </c>
    </row>
    <row r="544" spans="1:15" x14ac:dyDescent="0.35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t="str">
        <f t="shared" si="8"/>
        <v>ORD20054245244C49726Tablet17.98934 Main StCashCancelledTRK20739460</v>
      </c>
    </row>
    <row r="545" spans="1:15" x14ac:dyDescent="0.35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t="str">
        <f t="shared" si="8"/>
        <v>ORD20054345360C37531Desk269.86354 Main StCashShippedTRK93877673</v>
      </c>
    </row>
    <row r="546" spans="1:15" x14ac:dyDescent="0.35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t="str">
        <f t="shared" si="8"/>
        <v>ORD20054445361C48713Printer31.96373 Main StCredit CardReturnedTRK96334419</v>
      </c>
    </row>
    <row r="547" spans="1:15" x14ac:dyDescent="0.35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 t="str">
        <f t="shared" si="8"/>
        <v>ORD20054545279C74138Monitor98.47964 Main StCashReturnedTRK74091695</v>
      </c>
    </row>
    <row r="548" spans="1:15" x14ac:dyDescent="0.35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t="str">
        <f t="shared" si="8"/>
        <v>ORD20054645352C82399Monitor158.68928 Main StCredit CardReturnedTRK77177284</v>
      </c>
    </row>
    <row r="549" spans="1:15" x14ac:dyDescent="0.35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t="str">
        <f t="shared" si="8"/>
        <v>ORD20054745158C40427Phone613.98411 Main StOnlineDeliveredTRK25392280</v>
      </c>
    </row>
    <row r="550" spans="1:15" x14ac:dyDescent="0.35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t="str">
        <f t="shared" si="8"/>
        <v>ORD20054845296C17103Printer426.12922 Main StOnlineDeliveredTRK64398650</v>
      </c>
    </row>
    <row r="551" spans="1:15" x14ac:dyDescent="0.35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t="str">
        <f t="shared" si="8"/>
        <v>ORD20054945713C34266Monitor629.88550 Main StDebit CardCancelledTRK56378197</v>
      </c>
    </row>
    <row r="552" spans="1:15" x14ac:dyDescent="0.35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t="str">
        <f t="shared" si="8"/>
        <v>ORD20055045228C97485Laptop228.91573 Main StCashShippedTRK81794737</v>
      </c>
    </row>
    <row r="553" spans="1:15" x14ac:dyDescent="0.35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t="str">
        <f t="shared" si="8"/>
        <v>ORD20055145064C23947Laptop120.98353 Main StDebit CardDeliveredTRK74812710</v>
      </c>
    </row>
    <row r="554" spans="1:15" x14ac:dyDescent="0.35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t="str">
        <f t="shared" si="8"/>
        <v>ORD20055245199C21665Chair425.18560 Main StOnlineReturnedTRK29890761</v>
      </c>
    </row>
    <row r="555" spans="1:15" x14ac:dyDescent="0.35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t="str">
        <f t="shared" si="8"/>
        <v>ORD20055345161C82550Phone333.83828 Main StGift CardCancelledTRK74103758</v>
      </c>
    </row>
    <row r="556" spans="1:15" x14ac:dyDescent="0.35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t="str">
        <f t="shared" si="8"/>
        <v>ORD20055445807C61943Laptop492.9610 Main StCashReturnedTRK66126496</v>
      </c>
    </row>
    <row r="557" spans="1:15" x14ac:dyDescent="0.35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 t="str">
        <f t="shared" si="8"/>
        <v>ORD20055544933C88933Tablet92.04333 Main StCashShippedTRK89306964</v>
      </c>
    </row>
    <row r="558" spans="1:15" x14ac:dyDescent="0.35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t="str">
        <f t="shared" si="8"/>
        <v>ORD20055644954C30923Laptop654.27932 Main StGift CardPendingTRK82609328</v>
      </c>
    </row>
    <row r="559" spans="1:15" x14ac:dyDescent="0.35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t="str">
        <f t="shared" si="8"/>
        <v>ORD20055745106C56969Tablet56.2130 Main StDebit CardPendingTRK40719215</v>
      </c>
    </row>
    <row r="560" spans="1:15" x14ac:dyDescent="0.35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t="str">
        <f t="shared" si="8"/>
        <v>ORD20055845489C76766Phone628.12485 Main StOnlineDeliveredTRK32052962</v>
      </c>
    </row>
    <row r="561" spans="1:15" x14ac:dyDescent="0.35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t="str">
        <f t="shared" si="8"/>
        <v>ORD20055945397C22981Desk157.4454 Main StDebit CardCancelledTRK10115285</v>
      </c>
    </row>
    <row r="562" spans="1:15" x14ac:dyDescent="0.35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 t="str">
        <f t="shared" si="8"/>
        <v>ORD20056044957C33634Monitor588.85524 Main StGift CardPendingTRK93168008</v>
      </c>
    </row>
    <row r="563" spans="1:15" x14ac:dyDescent="0.35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 t="str">
        <f t="shared" si="8"/>
        <v>ORD20056144957C96822Printer494.78198 Main StOnlineShippedTRK89180077</v>
      </c>
    </row>
    <row r="564" spans="1:15" x14ac:dyDescent="0.35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t="str">
        <f t="shared" si="8"/>
        <v>ORD20056245205C76675Laptop663.93922 Main StGift CardReturnedTRK28043915</v>
      </c>
    </row>
    <row r="565" spans="1:15" x14ac:dyDescent="0.35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t="str">
        <f t="shared" si="8"/>
        <v>ORD20056345272C12039Laptop132.68844 Main StDebit CardReturnedTRK68645763</v>
      </c>
    </row>
    <row r="566" spans="1:15" x14ac:dyDescent="0.35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t="str">
        <f t="shared" si="8"/>
        <v>ORD20056445755C93309Desk364.28734 Main StCredit CardCancelledTRK99446987</v>
      </c>
    </row>
    <row r="567" spans="1:15" x14ac:dyDescent="0.35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 t="str">
        <f t="shared" si="8"/>
        <v>ORD20056545060C62042Tablet307.98214 Main StOnlinePendingTRK42605492</v>
      </c>
    </row>
    <row r="568" spans="1:15" x14ac:dyDescent="0.35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t="str">
        <f t="shared" si="8"/>
        <v>ORD20056645400C83223Phone162.71167 Main StCashCancelledTRK54339083</v>
      </c>
    </row>
    <row r="569" spans="1:15" x14ac:dyDescent="0.35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t="str">
        <f t="shared" si="8"/>
        <v>ORD20056745565C92575Chair492.94153 Main StCashShippedTRK53579227</v>
      </c>
    </row>
    <row r="570" spans="1:15" x14ac:dyDescent="0.35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 t="str">
        <f t="shared" si="8"/>
        <v>ORD20056844995C29072Laptop343.99312 Main StOnlineDeliveredTRK72334047</v>
      </c>
    </row>
    <row r="571" spans="1:15" x14ac:dyDescent="0.35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t="str">
        <f t="shared" si="8"/>
        <v>ORD20056945738C25783Desk250.68672 Main StCashShippedTRK13289741</v>
      </c>
    </row>
    <row r="572" spans="1:15" x14ac:dyDescent="0.35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t="str">
        <f t="shared" si="8"/>
        <v>ORD20057045653C63727Desk362.14122 Main StDebit CardPendingTRK13611021</v>
      </c>
    </row>
    <row r="573" spans="1:15" x14ac:dyDescent="0.35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t="str">
        <f t="shared" si="8"/>
        <v>ORD20057145619C42365Tablet214.08867 Main StGift CardReturnedTRK39563288</v>
      </c>
    </row>
    <row r="574" spans="1:15" x14ac:dyDescent="0.35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t="str">
        <f t="shared" si="8"/>
        <v>ORD20057245241C27438Printer70.32341 Main StCashReturnedTRK69125497</v>
      </c>
    </row>
    <row r="575" spans="1:15" x14ac:dyDescent="0.35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 t="str">
        <f t="shared" si="8"/>
        <v>ORD20057344951C13205Chair421.42522 Main StDebit CardCancelledTRK30686578</v>
      </c>
    </row>
    <row r="576" spans="1:15" x14ac:dyDescent="0.35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t="str">
        <f t="shared" si="8"/>
        <v>ORD20057445315C29685Chair384.69275 Main StCredit CardPendingTRK97733212</v>
      </c>
    </row>
    <row r="577" spans="1:15" x14ac:dyDescent="0.35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t="str">
        <f t="shared" si="8"/>
        <v>ORD20057545084C74005Chair448.15528 Main StGift CardReturnedTRK61640534</v>
      </c>
    </row>
    <row r="578" spans="1:15" x14ac:dyDescent="0.35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 t="str">
        <f t="shared" si="8"/>
        <v>ORD20057645441C14457Laptop79.08747 Main StCashPendingTRK42517811</v>
      </c>
    </row>
    <row r="579" spans="1:15" x14ac:dyDescent="0.35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t="str">
        <f t="shared" ref="O579:O642" si="9">A579&amp;B579&amp;C579&amp;D579&amp;F579&amp;G579&amp;H579&amp;I579&amp;J579</f>
        <v>ORD20057744948C77046Tablet185.41967 Main StOnlineReturnedTRK44401497</v>
      </c>
    </row>
    <row r="580" spans="1:15" x14ac:dyDescent="0.35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t="str">
        <f t="shared" si="9"/>
        <v>ORD20057845575C50415Monitor566.07587 Main StCredit CardDeliveredTRK41345634</v>
      </c>
    </row>
    <row r="581" spans="1:15" x14ac:dyDescent="0.35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t="str">
        <f t="shared" si="9"/>
        <v>ORD20057945081C73999Tablet187.88413 Main StOnlineShippedTRK67919507</v>
      </c>
    </row>
    <row r="582" spans="1:15" x14ac:dyDescent="0.35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t="str">
        <f t="shared" si="9"/>
        <v>ORD20058045244C71076Monitor255.99340 Main StCredit CardDeliveredTRK65148292</v>
      </c>
    </row>
    <row r="583" spans="1:15" x14ac:dyDescent="0.35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 t="str">
        <f t="shared" si="9"/>
        <v>ORD20058145607C44674Laptop627.34942 Main StOnlineDeliveredTRK87158684</v>
      </c>
    </row>
    <row r="584" spans="1:15" x14ac:dyDescent="0.35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t="str">
        <f t="shared" si="9"/>
        <v>ORD20058245341C15228Tablet474.14558 Main StGift CardShippedTRK33860620</v>
      </c>
    </row>
    <row r="585" spans="1:15" x14ac:dyDescent="0.35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 t="str">
        <f t="shared" si="9"/>
        <v>ORD20058345823C27072Chair154.37996 Main StGift CardDeliveredTRK29750379</v>
      </c>
    </row>
    <row r="586" spans="1:15" x14ac:dyDescent="0.35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t="str">
        <f t="shared" si="9"/>
        <v>ORD20058445737C15257Chair145.05626 Main StOnlineDeliveredTRK28779938</v>
      </c>
    </row>
    <row r="587" spans="1:15" x14ac:dyDescent="0.35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t="str">
        <f t="shared" si="9"/>
        <v>ORD20058545158C91486Tablet67.08907 Main StCashReturnedTRK79617136</v>
      </c>
    </row>
    <row r="588" spans="1:15" x14ac:dyDescent="0.35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t="str">
        <f t="shared" si="9"/>
        <v>ORD20058645606C17389Monitor522.08905 Main StGift CardReturnedTRK98857880</v>
      </c>
    </row>
    <row r="589" spans="1:15" x14ac:dyDescent="0.35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t="str">
        <f t="shared" si="9"/>
        <v>ORD20058745089C18820Monitor514.6347 Main StGift CardDeliveredTRK91547425</v>
      </c>
    </row>
    <row r="590" spans="1:15" x14ac:dyDescent="0.35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 t="str">
        <f t="shared" si="9"/>
        <v>ORD20058845636C61849Monitor577.82811 Main StCredit CardDeliveredTRK47613918</v>
      </c>
    </row>
    <row r="591" spans="1:15" x14ac:dyDescent="0.35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t="str">
        <f t="shared" si="9"/>
        <v>ORD20058945698C84041Laptop500.8900 Main StCashDeliveredTRK84920444</v>
      </c>
    </row>
    <row r="592" spans="1:15" x14ac:dyDescent="0.35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 t="str">
        <f t="shared" si="9"/>
        <v>ORD20059045179C55757Printer461.13175 Main StGift CardReturnedTRK27356242</v>
      </c>
    </row>
    <row r="593" spans="1:15" x14ac:dyDescent="0.35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t="str">
        <f t="shared" si="9"/>
        <v>ORD20059145614C18187Laptop605.28470 Main StGift CardShippedTRK50528185</v>
      </c>
    </row>
    <row r="594" spans="1:15" x14ac:dyDescent="0.35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 t="str">
        <f t="shared" si="9"/>
        <v>ORD20059245405C42306Phone204.27938 Main StOnlineReturnedTRK15499648</v>
      </c>
    </row>
    <row r="595" spans="1:15" x14ac:dyDescent="0.35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t="str">
        <f t="shared" si="9"/>
        <v>ORD20059345140C51024Monitor489.8636 Main StGift CardShippedTRK31375086</v>
      </c>
    </row>
    <row r="596" spans="1:15" x14ac:dyDescent="0.35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 t="str">
        <f t="shared" si="9"/>
        <v>ORD20059445343C40140Phone72.64598 Main StCredit CardCancelledTRK12671989</v>
      </c>
    </row>
    <row r="597" spans="1:15" x14ac:dyDescent="0.35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t="str">
        <f t="shared" si="9"/>
        <v>ORD20059545667C72596Printer385.16491 Main StOnlinePendingTRK83870446</v>
      </c>
    </row>
    <row r="598" spans="1:15" x14ac:dyDescent="0.35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t="str">
        <f t="shared" si="9"/>
        <v>ORD20059645089C91805Desk606.41653 Main StDebit CardReturnedTRK34504030</v>
      </c>
    </row>
    <row r="599" spans="1:15" x14ac:dyDescent="0.35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t="str">
        <f t="shared" si="9"/>
        <v>ORD20059745621C40538Desk211.82700 Main StGift CardCancelledTRK29821356</v>
      </c>
    </row>
    <row r="600" spans="1:15" x14ac:dyDescent="0.35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 t="str">
        <f t="shared" si="9"/>
        <v>ORD20059845408C60329Desk495.35826 Main StCredit CardPendingTRK59069987</v>
      </c>
    </row>
    <row r="601" spans="1:15" x14ac:dyDescent="0.35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t="str">
        <f t="shared" si="9"/>
        <v>ORD20059945107C28740Chair556.99123 Main StOnlineCancelledTRK33642221</v>
      </c>
    </row>
    <row r="602" spans="1:15" x14ac:dyDescent="0.35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t="str">
        <f t="shared" si="9"/>
        <v>ORD20060045072C87051Printer72.31460 Main StGift CardCancelledTRK82056333</v>
      </c>
    </row>
    <row r="603" spans="1:15" x14ac:dyDescent="0.35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 t="str">
        <f t="shared" si="9"/>
        <v>ORD20060145201C12479Monitor24.82529 Main StCredit CardShippedTRK73935314</v>
      </c>
    </row>
    <row r="604" spans="1:15" x14ac:dyDescent="0.35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t="str">
        <f t="shared" si="9"/>
        <v>ORD20060245356C35852Tablet26.04982 Main StOnlinePendingTRK64660134</v>
      </c>
    </row>
    <row r="605" spans="1:15" x14ac:dyDescent="0.35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t="str">
        <f t="shared" si="9"/>
        <v>ORD20060345569C26223Tablet657.07800 Main StCashPendingTRK50900547</v>
      </c>
    </row>
    <row r="606" spans="1:15" x14ac:dyDescent="0.35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 t="str">
        <f t="shared" si="9"/>
        <v>ORD20060445830C99214Chair32.62252 Main StDebit CardDeliveredTRK81368481</v>
      </c>
    </row>
    <row r="607" spans="1:15" x14ac:dyDescent="0.35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t="str">
        <f t="shared" si="9"/>
        <v>ORD20060545422C49605Monitor228.91892 Main StDebit CardShippedTRK95620066</v>
      </c>
    </row>
    <row r="608" spans="1:15" x14ac:dyDescent="0.35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t="str">
        <f t="shared" si="9"/>
        <v>ORD20060645602C85018Laptop274.75783 Main StCashCancelledTRK54128886</v>
      </c>
    </row>
    <row r="609" spans="1:15" x14ac:dyDescent="0.35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t="str">
        <f t="shared" si="9"/>
        <v>ORD20060745808C96434Printer634.05282 Main StCashShippedTRK56730647</v>
      </c>
    </row>
    <row r="610" spans="1:15" x14ac:dyDescent="0.35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t="str">
        <f t="shared" si="9"/>
        <v>ORD20060845497C32956Laptop543.16788 Main StOnlineCancelledTRK73140103</v>
      </c>
    </row>
    <row r="611" spans="1:15" x14ac:dyDescent="0.35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t="str">
        <f t="shared" si="9"/>
        <v>ORD20060945684C41137Chair449.13809 Main StCashReturnedTRK52732162</v>
      </c>
    </row>
    <row r="612" spans="1:15" x14ac:dyDescent="0.35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t="str">
        <f t="shared" si="9"/>
        <v>ORD20061045459C60361Desk389.62623 Main StCashReturnedTRK83566924</v>
      </c>
    </row>
    <row r="613" spans="1:15" x14ac:dyDescent="0.35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t="str">
        <f t="shared" si="9"/>
        <v>ORD20061145037C36688Desk305.17700 Main StGift CardReturnedTRK35720426</v>
      </c>
    </row>
    <row r="614" spans="1:15" x14ac:dyDescent="0.35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 t="str">
        <f t="shared" si="9"/>
        <v>ORD20061245079C51811Chair445.12339 Main StGift CardCancelledTRK82377939</v>
      </c>
    </row>
    <row r="615" spans="1:15" x14ac:dyDescent="0.35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t="str">
        <f t="shared" si="9"/>
        <v>ORD20061345645C62405Laptop230.36154 Main StOnlineReturnedTRK14721763</v>
      </c>
    </row>
    <row r="616" spans="1:15" x14ac:dyDescent="0.35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 t="str">
        <f t="shared" si="9"/>
        <v>ORD20061445359C77363Phone96.81807 Main StGift CardCancelledTRK12439827</v>
      </c>
    </row>
    <row r="617" spans="1:15" x14ac:dyDescent="0.35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t="str">
        <f t="shared" si="9"/>
        <v>ORD20061545723C97218Monitor460.14252 Main StCredit CardReturnedTRK52632065</v>
      </c>
    </row>
    <row r="618" spans="1:15" x14ac:dyDescent="0.35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t="str">
        <f t="shared" si="9"/>
        <v>ORD20061645582C43919Tablet601.6984 Main StCredit CardCancelledTRK73113192</v>
      </c>
    </row>
    <row r="619" spans="1:15" x14ac:dyDescent="0.35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 t="str">
        <f t="shared" si="9"/>
        <v>ORD20061745330C57093Tablet184.47834 Main StOnlineCancelledTRK75469057</v>
      </c>
    </row>
    <row r="620" spans="1:15" x14ac:dyDescent="0.35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 t="str">
        <f t="shared" si="9"/>
        <v>ORD20061845538C50565Tablet411.34399 Main StDebit CardReturnedTRK97981418</v>
      </c>
    </row>
    <row r="621" spans="1:15" x14ac:dyDescent="0.35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 t="str">
        <f t="shared" si="9"/>
        <v>ORD20061945489C38845Laptop532.89764 Main StGift CardPendingTRK47637374</v>
      </c>
    </row>
    <row r="622" spans="1:15" x14ac:dyDescent="0.35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t="str">
        <f t="shared" si="9"/>
        <v>ORD20062045378C84834Tablet136.34866 Main StDebit CardReturnedTRK90136001</v>
      </c>
    </row>
    <row r="623" spans="1:15" x14ac:dyDescent="0.35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t="str">
        <f t="shared" si="9"/>
        <v>ORD20062145221C37455Phone476.01146 Main StCredit CardDeliveredTRK82685594</v>
      </c>
    </row>
    <row r="624" spans="1:15" x14ac:dyDescent="0.35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 t="str">
        <f t="shared" si="9"/>
        <v>ORD20062245598C27078Desk236.38128 Main StCredit CardReturnedTRK89314307</v>
      </c>
    </row>
    <row r="625" spans="1:15" x14ac:dyDescent="0.35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t="str">
        <f t="shared" si="9"/>
        <v>ORD20062345093C91941Printer396269 Main StGift CardCancelledTRK21330732</v>
      </c>
    </row>
    <row r="626" spans="1:15" x14ac:dyDescent="0.35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 t="str">
        <f t="shared" si="9"/>
        <v>ORD20062445307C25967Tablet341.96747 Main StDebit CardDeliveredTRK88559278</v>
      </c>
    </row>
    <row r="627" spans="1:15" x14ac:dyDescent="0.35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t="str">
        <f t="shared" si="9"/>
        <v>ORD20062545193C22123Tablet672.89519 Main StCredit CardPendingTRK43250279</v>
      </c>
    </row>
    <row r="628" spans="1:15" x14ac:dyDescent="0.35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t="str">
        <f t="shared" si="9"/>
        <v>ORD20062645352C45671Tablet657.48769 Main StOnlineShippedTRK18179773</v>
      </c>
    </row>
    <row r="629" spans="1:15" x14ac:dyDescent="0.35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t="str">
        <f t="shared" si="9"/>
        <v>ORD20062745144C53334Chair498.68879 Main StOnlineReturnedTRK31724421</v>
      </c>
    </row>
    <row r="630" spans="1:15" x14ac:dyDescent="0.35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t="str">
        <f t="shared" si="9"/>
        <v>ORD20062845011C18717Printer558.63861 Main StCashPendingTRK58568806</v>
      </c>
    </row>
    <row r="631" spans="1:15" x14ac:dyDescent="0.35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 t="str">
        <f t="shared" si="9"/>
        <v>ORD20062945114C50137Phone19.73840 Main StOnlinePendingTRK91836131</v>
      </c>
    </row>
    <row r="632" spans="1:15" x14ac:dyDescent="0.35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 t="str">
        <f t="shared" si="9"/>
        <v>ORD20063045100C51481Monitor248.84140 Main StDebit CardCancelledTRK33437701</v>
      </c>
    </row>
    <row r="633" spans="1:15" x14ac:dyDescent="0.35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t="str">
        <f t="shared" si="9"/>
        <v>ORD20063145535C99128Chair46.11360 Main StGift CardReturnedTRK32426808</v>
      </c>
    </row>
    <row r="634" spans="1:15" x14ac:dyDescent="0.35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t="str">
        <f t="shared" si="9"/>
        <v>ORD20063245048C67260Laptop678.16463 Main StGift CardDeliveredTRK38229104</v>
      </c>
    </row>
    <row r="635" spans="1:15" x14ac:dyDescent="0.35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t="str">
        <f t="shared" si="9"/>
        <v>ORD20063345392C79533Laptop601.72921 Main StGift CardCancelledTRK54711422</v>
      </c>
    </row>
    <row r="636" spans="1:15" x14ac:dyDescent="0.35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t="str">
        <f t="shared" si="9"/>
        <v>ORD20063445407C66906Printer259.32117 Main StGift CardDeliveredTRK31633755</v>
      </c>
    </row>
    <row r="637" spans="1:15" x14ac:dyDescent="0.35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 t="str">
        <f t="shared" si="9"/>
        <v>ORD20063545273C12818Chair63.68434 Main StCashReturnedTRK40879983</v>
      </c>
    </row>
    <row r="638" spans="1:15" x14ac:dyDescent="0.35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t="str">
        <f t="shared" si="9"/>
        <v>ORD20063645204C60384Laptop371.07336 Main StCashCancelledTRK92080037</v>
      </c>
    </row>
    <row r="639" spans="1:15" x14ac:dyDescent="0.35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t="str">
        <f t="shared" si="9"/>
        <v>ORD20063745564C92294Chair306.35784 Main StGift CardShippedTRK23585765</v>
      </c>
    </row>
    <row r="640" spans="1:15" x14ac:dyDescent="0.35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t="str">
        <f t="shared" si="9"/>
        <v>ORD20063845214C66840Tablet578.27547 Main StOnlineDeliveredTRK76929637</v>
      </c>
    </row>
    <row r="641" spans="1:15" x14ac:dyDescent="0.35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 t="str">
        <f t="shared" si="9"/>
        <v>ORD20063944946C22534Chair529.19391 Main StCashCancelledTRK17415798</v>
      </c>
    </row>
    <row r="642" spans="1:15" x14ac:dyDescent="0.35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t="str">
        <f t="shared" si="9"/>
        <v>ORD20064045349C46509Chair587.49647 Main StGift CardReturnedTRK24241664</v>
      </c>
    </row>
    <row r="643" spans="1:15" x14ac:dyDescent="0.35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t="str">
        <f t="shared" ref="O643:O706" si="10">A643&amp;B643&amp;C643&amp;D643&amp;F643&amp;G643&amp;H643&amp;I643&amp;J643</f>
        <v>ORD20064145473C71680Printer567.57814 Main StDebit CardPendingTRK47386650</v>
      </c>
    </row>
    <row r="644" spans="1:15" x14ac:dyDescent="0.35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t="str">
        <f t="shared" si="10"/>
        <v>ORD20064245411C15063Chair85.22527 Main StCredit CardCancelledTRK10329390</v>
      </c>
    </row>
    <row r="645" spans="1:15" x14ac:dyDescent="0.35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t="str">
        <f t="shared" si="10"/>
        <v>ORD20064345530C77122Laptop438.37647 Main StCashCancelledTRK75814880</v>
      </c>
    </row>
    <row r="646" spans="1:15" x14ac:dyDescent="0.35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t="str">
        <f t="shared" si="10"/>
        <v>ORD20064445245C86524Chair366.23961 Main StCashShippedTRK62490506</v>
      </c>
    </row>
    <row r="647" spans="1:15" x14ac:dyDescent="0.35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t="str">
        <f t="shared" si="10"/>
        <v>ORD20064544928C82990Laptop150.05727 Main StCredit CardCancelledTRK68574801</v>
      </c>
    </row>
    <row r="648" spans="1:15" x14ac:dyDescent="0.35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t="str">
        <f t="shared" si="10"/>
        <v>ORD20064645226C98761Chair498.51804 Main StDebit CardShippedTRK43262630</v>
      </c>
    </row>
    <row r="649" spans="1:15" x14ac:dyDescent="0.35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t="str">
        <f t="shared" si="10"/>
        <v>ORD20064745771C54409Desk339.39667 Main StCashReturnedTRK67671316</v>
      </c>
    </row>
    <row r="650" spans="1:15" x14ac:dyDescent="0.35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t="str">
        <f t="shared" si="10"/>
        <v>ORD20064845675C89674Monitor575.83182 Main StOnlineDeliveredTRK45902512</v>
      </c>
    </row>
    <row r="651" spans="1:15" x14ac:dyDescent="0.35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t="str">
        <f t="shared" si="10"/>
        <v>ORD20064945283C45899Monitor642.98153 Main StDebit CardReturnedTRK32932093</v>
      </c>
    </row>
    <row r="652" spans="1:15" x14ac:dyDescent="0.35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t="str">
        <f t="shared" si="10"/>
        <v>ORD20065045064C74499Desk372.23518 Main StGift CardDeliveredTRK93767278</v>
      </c>
    </row>
    <row r="653" spans="1:15" x14ac:dyDescent="0.35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 t="str">
        <f t="shared" si="10"/>
        <v>ORD20065145608C81192Chair646.34429 Main StDebit CardPendingTRK76931118</v>
      </c>
    </row>
    <row r="654" spans="1:15" x14ac:dyDescent="0.35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t="str">
        <f t="shared" si="10"/>
        <v>ORD20065245448C71473Chair341.84328 Main StOnlineShippedTRK94857335</v>
      </c>
    </row>
    <row r="655" spans="1:15" x14ac:dyDescent="0.35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t="str">
        <f t="shared" si="10"/>
        <v>ORD20065345347C59338Printer690.3747 Main StCredit CardShippedTRK12902764</v>
      </c>
    </row>
    <row r="656" spans="1:15" x14ac:dyDescent="0.35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 t="str">
        <f t="shared" si="10"/>
        <v>ORD20065445089C62661Tablet382.37863 Main StDebit CardReturnedTRK25748100</v>
      </c>
    </row>
    <row r="657" spans="1:15" x14ac:dyDescent="0.35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t="str">
        <f t="shared" si="10"/>
        <v>ORD20065544999C22101Chair132.6262 Main StDebit CardCancelledTRK70711522</v>
      </c>
    </row>
    <row r="658" spans="1:15" x14ac:dyDescent="0.35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t="str">
        <f t="shared" si="10"/>
        <v>ORD20065645309C51404Monitor189.06835 Main StGift CardShippedTRK85682500</v>
      </c>
    </row>
    <row r="659" spans="1:15" x14ac:dyDescent="0.35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t="str">
        <f t="shared" si="10"/>
        <v>ORD20065745284C19384Tablet87.79532 Main StCashCancelledTRK33207064</v>
      </c>
    </row>
    <row r="660" spans="1:15" x14ac:dyDescent="0.35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t="str">
        <f t="shared" si="10"/>
        <v>ORD20065845765C86864Printer46.36670 Main StGift CardReturnedTRK15323191</v>
      </c>
    </row>
    <row r="661" spans="1:15" x14ac:dyDescent="0.35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t="str">
        <f t="shared" si="10"/>
        <v>ORD20065945591C24301Phone642.04964 Main StGift CardDeliveredTRK55000075</v>
      </c>
    </row>
    <row r="662" spans="1:15" x14ac:dyDescent="0.35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t="str">
        <f t="shared" si="10"/>
        <v>ORD20066045584C43842Chair651.57933 Main StDebit CardShippedTRK54084424</v>
      </c>
    </row>
    <row r="663" spans="1:15" x14ac:dyDescent="0.35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t="str">
        <f t="shared" si="10"/>
        <v>ORD20066145716C63657Tablet424.89116 Main StDebit CardCancelledTRK86378984</v>
      </c>
    </row>
    <row r="664" spans="1:15" x14ac:dyDescent="0.35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 t="str">
        <f t="shared" si="10"/>
        <v>ORD20066244954C98332Laptop438.89985 Main StCashReturnedTRK85744797</v>
      </c>
    </row>
    <row r="665" spans="1:15" x14ac:dyDescent="0.35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t="str">
        <f t="shared" si="10"/>
        <v>ORD20066345397C59774Monitor72.6941 Main StDebit CardCancelledTRK87635135</v>
      </c>
    </row>
    <row r="666" spans="1:15" x14ac:dyDescent="0.35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 t="str">
        <f t="shared" si="10"/>
        <v>ORD20066445645C14847Laptop194.75188 Main StCashShippedTRK46492755</v>
      </c>
    </row>
    <row r="667" spans="1:15" x14ac:dyDescent="0.35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t="str">
        <f t="shared" si="10"/>
        <v>ORD20066545048C83653Tablet231.26253 Main StOnlineShippedTRK32619935</v>
      </c>
    </row>
    <row r="668" spans="1:15" x14ac:dyDescent="0.35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 t="str">
        <f t="shared" si="10"/>
        <v>ORD20066645535C35711Monitor327.12788 Main StCredit CardCancelledTRK45281495</v>
      </c>
    </row>
    <row r="669" spans="1:15" x14ac:dyDescent="0.35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t="str">
        <f t="shared" si="10"/>
        <v>ORD20066745049C10477Laptop466.42172 Main StGift CardPendingTRK41505339</v>
      </c>
    </row>
    <row r="670" spans="1:15" x14ac:dyDescent="0.35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t="str">
        <f t="shared" si="10"/>
        <v>ORD20066845478C61257Monitor253.67981 Main StCashReturnedTRK25226070</v>
      </c>
    </row>
    <row r="671" spans="1:15" x14ac:dyDescent="0.35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 t="str">
        <f t="shared" si="10"/>
        <v>ORD20066944962C60547Desk257812 Main StDebit CardCancelledTRK65694249</v>
      </c>
    </row>
    <row r="672" spans="1:15" x14ac:dyDescent="0.35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t="str">
        <f t="shared" si="10"/>
        <v>ORD20067045400C14576Desk539.2747 Main StCredit CardPendingTRK21637540</v>
      </c>
    </row>
    <row r="673" spans="1:15" x14ac:dyDescent="0.35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t="str">
        <f t="shared" si="10"/>
        <v>ORD20067145092C49282Chair50.74737 Main StGift CardCancelledTRK88653901</v>
      </c>
    </row>
    <row r="674" spans="1:15" x14ac:dyDescent="0.35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t="str">
        <f t="shared" si="10"/>
        <v>ORD20067245055C14017Phone624.16984 Main StDebit CardShippedTRK71009446</v>
      </c>
    </row>
    <row r="675" spans="1:15" x14ac:dyDescent="0.35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t="str">
        <f t="shared" si="10"/>
        <v>ORD20067344978C46504Tablet372.92131 Main StCredit CardDeliveredTRK95024356</v>
      </c>
    </row>
    <row r="676" spans="1:15" x14ac:dyDescent="0.35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t="str">
        <f t="shared" si="10"/>
        <v>ORD20067445300C56928Laptop358.75860 Main StGift CardDeliveredTRK57792939</v>
      </c>
    </row>
    <row r="677" spans="1:15" x14ac:dyDescent="0.35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 t="str">
        <f t="shared" si="10"/>
        <v>ORD20067545510C97749Desk342.02906 Main StDebit CardPendingTRK90233116</v>
      </c>
    </row>
    <row r="678" spans="1:15" x14ac:dyDescent="0.35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t="str">
        <f t="shared" si="10"/>
        <v>ORD20067645831C90431Laptop422.34985 Main StCredit CardCancelledTRK44151723</v>
      </c>
    </row>
    <row r="679" spans="1:15" x14ac:dyDescent="0.35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t="str">
        <f t="shared" si="10"/>
        <v>ORD20067745750C56722Tablet22.07179 Main StOnlineCancelledTRK78778569</v>
      </c>
    </row>
    <row r="680" spans="1:15" x14ac:dyDescent="0.35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t="str">
        <f t="shared" si="10"/>
        <v>ORD20067845620C40863Chair163.13457 Main StGift CardShippedTRK20553345</v>
      </c>
    </row>
    <row r="681" spans="1:15" x14ac:dyDescent="0.35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t="str">
        <f t="shared" si="10"/>
        <v>ORD20067944959C40798Tablet360.66304 Main StOnlineReturnedTRK66106697</v>
      </c>
    </row>
    <row r="682" spans="1:15" x14ac:dyDescent="0.35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 t="str">
        <f t="shared" si="10"/>
        <v>ORD20068045165C16702Monitor463.39694 Main StCredit CardReturnedTRK16953491</v>
      </c>
    </row>
    <row r="683" spans="1:15" x14ac:dyDescent="0.35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 t="str">
        <f t="shared" si="10"/>
        <v>ORD20068145321C38262Tablet155.27548 Main StDebit CardShippedTRK47300502</v>
      </c>
    </row>
    <row r="684" spans="1:15" x14ac:dyDescent="0.35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t="str">
        <f t="shared" si="10"/>
        <v>ORD20068245130C50274Monitor509.42449 Main StCredit CardCancelledTRK91729086</v>
      </c>
    </row>
    <row r="685" spans="1:15" x14ac:dyDescent="0.35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t="str">
        <f t="shared" si="10"/>
        <v>ORD20068345795C91591Desk652.48887 Main StCashPendingTRK23554043</v>
      </c>
    </row>
    <row r="686" spans="1:15" x14ac:dyDescent="0.35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 t="str">
        <f t="shared" si="10"/>
        <v>ORD20068445557C96583Printer34.84288 Main StCredit CardShippedTRK64353241</v>
      </c>
    </row>
    <row r="687" spans="1:15" x14ac:dyDescent="0.35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t="str">
        <f t="shared" si="10"/>
        <v>ORD20068545695C64579Desk234.37638 Main StDebit CardShippedTRK10276565</v>
      </c>
    </row>
    <row r="688" spans="1:15" x14ac:dyDescent="0.35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t="str">
        <f t="shared" si="10"/>
        <v>ORD20068645208C41903Desk53.6525 Main StCashPendingTRK59112382</v>
      </c>
    </row>
    <row r="689" spans="1:15" x14ac:dyDescent="0.35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t="str">
        <f t="shared" si="10"/>
        <v>ORD20068745182C19742Tablet332.09408 Main StGift CardReturnedTRK68845230</v>
      </c>
    </row>
    <row r="690" spans="1:15" x14ac:dyDescent="0.35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t="str">
        <f t="shared" si="10"/>
        <v>ORD20068845357C20077Monitor593.22154 Main StCredit CardCancelledTRK36415742</v>
      </c>
    </row>
    <row r="691" spans="1:15" x14ac:dyDescent="0.35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 t="str">
        <f t="shared" si="10"/>
        <v>ORD20068945167C13186Tablet444.84787 Main StOnlineShippedTRK56967415</v>
      </c>
    </row>
    <row r="692" spans="1:15" x14ac:dyDescent="0.35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 t="str">
        <f t="shared" si="10"/>
        <v>ORD20069045485C29318Monitor24.48128 Main StGift CardReturnedTRK88666721</v>
      </c>
    </row>
    <row r="693" spans="1:15" x14ac:dyDescent="0.35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 t="str">
        <f t="shared" si="10"/>
        <v>ORD20069145620C36137Laptop239.08396 Main StCashShippedTRK57376416</v>
      </c>
    </row>
    <row r="694" spans="1:15" x14ac:dyDescent="0.35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t="str">
        <f t="shared" si="10"/>
        <v>ORD20069244949C25534Desk196.84319 Main StCredit CardDeliveredTRK68347402</v>
      </c>
    </row>
    <row r="695" spans="1:15" x14ac:dyDescent="0.35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 t="str">
        <f t="shared" si="10"/>
        <v>ORD20069345728C62070Monitor176.58674 Main StDebit CardReturnedTRK10267127</v>
      </c>
    </row>
    <row r="696" spans="1:15" x14ac:dyDescent="0.35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t="str">
        <f t="shared" si="10"/>
        <v>ORD20069445201C92049Printer666.52619 Main StCashShippedTRK32287092</v>
      </c>
    </row>
    <row r="697" spans="1:15" x14ac:dyDescent="0.35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t="str">
        <f t="shared" si="10"/>
        <v>ORD20069545619C52604Printer101.3553 Main StOnlineShippedTRK48839788</v>
      </c>
    </row>
    <row r="698" spans="1:15" x14ac:dyDescent="0.35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t="str">
        <f t="shared" si="10"/>
        <v>ORD20069645109C22429Chair151.2965 Main StGift CardPendingTRK38572927</v>
      </c>
    </row>
    <row r="699" spans="1:15" x14ac:dyDescent="0.35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t="str">
        <f t="shared" si="10"/>
        <v>ORD20069745692C27430Printer94.85788 Main StCashShippedTRK45025840</v>
      </c>
    </row>
    <row r="700" spans="1:15" x14ac:dyDescent="0.35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t="str">
        <f t="shared" si="10"/>
        <v>ORD20069844930C44366Laptop388.22169 Main StCashDeliveredTRK48658394</v>
      </c>
    </row>
    <row r="701" spans="1:15" x14ac:dyDescent="0.35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 t="str">
        <f t="shared" si="10"/>
        <v>ORD20069945243C36813Laptop614.15897 Main StGift CardCancelledTRK84088900</v>
      </c>
    </row>
    <row r="702" spans="1:15" x14ac:dyDescent="0.35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t="str">
        <f t="shared" si="10"/>
        <v>ORD20070045560C40201Laptop92.91555 Main StCashReturnedTRK30198779</v>
      </c>
    </row>
    <row r="703" spans="1:15" x14ac:dyDescent="0.35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t="str">
        <f t="shared" si="10"/>
        <v>ORD20070145466C75456Monitor92.22115 Main StCredit CardDeliveredTRK90519490</v>
      </c>
    </row>
    <row r="704" spans="1:15" x14ac:dyDescent="0.35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 t="str">
        <f t="shared" si="10"/>
        <v>ORD20070245452C33315Printer562.55154 Main StDebit CardReturnedTRK43589369</v>
      </c>
    </row>
    <row r="705" spans="1:15" x14ac:dyDescent="0.35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t="str">
        <f t="shared" si="10"/>
        <v>ORD20070345007C89336Desk92.79799 Main StCashPendingTRK47665103</v>
      </c>
    </row>
    <row r="706" spans="1:15" x14ac:dyDescent="0.35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t="str">
        <f t="shared" si="10"/>
        <v>ORD20070445080C96034Desk30.27819 Main StOnlineDeliveredTRK87261034</v>
      </c>
    </row>
    <row r="707" spans="1:15" x14ac:dyDescent="0.35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t="str">
        <f t="shared" ref="O707:O770" si="11">A707&amp;B707&amp;C707&amp;D707&amp;F707&amp;G707&amp;H707&amp;I707&amp;J707</f>
        <v>ORD20070545746C50114Monitor49.08420 Main StDebit CardReturnedTRK20214786</v>
      </c>
    </row>
    <row r="708" spans="1:15" x14ac:dyDescent="0.35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t="str">
        <f t="shared" si="11"/>
        <v>ORD20070645718C85330Desk228.09969 Main StGift CardReturnedTRK97693301</v>
      </c>
    </row>
    <row r="709" spans="1:15" x14ac:dyDescent="0.35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t="str">
        <f t="shared" si="11"/>
        <v>ORD20070745597C31761Chair650.04989 Main StGift CardCancelledTRK17628852</v>
      </c>
    </row>
    <row r="710" spans="1:15" x14ac:dyDescent="0.35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t="str">
        <f t="shared" si="11"/>
        <v>ORD20070845720C25268Printer665.11788 Main StCashPendingTRK20481215</v>
      </c>
    </row>
    <row r="711" spans="1:15" x14ac:dyDescent="0.35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t="str">
        <f t="shared" si="11"/>
        <v>ORD20070945633C17132Desk386.03855 Main StOnlinePendingTRK37504692</v>
      </c>
    </row>
    <row r="712" spans="1:15" x14ac:dyDescent="0.35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 t="str">
        <f t="shared" si="11"/>
        <v>ORD20071045495C48790Laptop21.54113 Main StGift CardReturnedTRK19086608</v>
      </c>
    </row>
    <row r="713" spans="1:15" x14ac:dyDescent="0.35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t="str">
        <f t="shared" si="11"/>
        <v>ORD20071145477C61070Tablet475.78632 Main StOnlineShippedTRK90764894</v>
      </c>
    </row>
    <row r="714" spans="1:15" x14ac:dyDescent="0.35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t="str">
        <f t="shared" si="11"/>
        <v>ORD20071245300C56969Tablet68.4993 Main StGift CardPendingTRK10513339</v>
      </c>
    </row>
    <row r="715" spans="1:15" x14ac:dyDescent="0.35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t="str">
        <f t="shared" si="11"/>
        <v>ORD20071345829C65056Tablet532.49638 Main StOnlineCancelledTRK31705278</v>
      </c>
    </row>
    <row r="716" spans="1:15" x14ac:dyDescent="0.35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t="str">
        <f t="shared" si="11"/>
        <v>ORD20071445037C84888Laptop51.73278 Main StDebit CardPendingTRK23612847</v>
      </c>
    </row>
    <row r="717" spans="1:15" x14ac:dyDescent="0.35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t="str">
        <f t="shared" si="11"/>
        <v>ORD20071545499C68266Printer653.63281 Main StOnlineDeliveredTRK96161062</v>
      </c>
    </row>
    <row r="718" spans="1:15" x14ac:dyDescent="0.35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t="str">
        <f t="shared" si="11"/>
        <v>ORD20071645456C84115Chair454.29891 Main StCredit CardPendingTRK25466842</v>
      </c>
    </row>
    <row r="719" spans="1:15" x14ac:dyDescent="0.35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t="str">
        <f t="shared" si="11"/>
        <v>ORD20071745215C50087Chair122.11707 Main StOnlineDeliveredTRK31143760</v>
      </c>
    </row>
    <row r="720" spans="1:15" x14ac:dyDescent="0.35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t="str">
        <f t="shared" si="11"/>
        <v>ORD20071845024C16790Laptop64.74718 Main StGift CardCancelledTRK91791367</v>
      </c>
    </row>
    <row r="721" spans="1:15" x14ac:dyDescent="0.35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t="str">
        <f t="shared" si="11"/>
        <v>ORD20071945312C46920Laptop681.06703 Main StDebit CardShippedTRK86403837</v>
      </c>
    </row>
    <row r="722" spans="1:15" x14ac:dyDescent="0.35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t="str">
        <f t="shared" si="11"/>
        <v>ORD20072045190C12740Desk128.95305 Main StCashPendingTRK98506513</v>
      </c>
    </row>
    <row r="723" spans="1:15" x14ac:dyDescent="0.35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 t="str">
        <f t="shared" si="11"/>
        <v>ORD20072145369C46557Desk118.59890 Main StCredit CardDeliveredTRK56110689</v>
      </c>
    </row>
    <row r="724" spans="1:15" x14ac:dyDescent="0.35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t="str">
        <f t="shared" si="11"/>
        <v>ORD20072245611C58156Printer95.1516 Main StGift CardPendingTRK49719458</v>
      </c>
    </row>
    <row r="725" spans="1:15" x14ac:dyDescent="0.35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t="str">
        <f t="shared" si="11"/>
        <v>ORD20072345269C14455Desk54.95385 Main StCashReturnedTRK50933724</v>
      </c>
    </row>
    <row r="726" spans="1:15" x14ac:dyDescent="0.35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t="str">
        <f t="shared" si="11"/>
        <v>ORD20072445583C63150Printer136.97326 Main StCredit CardReturnedTRK19348078</v>
      </c>
    </row>
    <row r="727" spans="1:15" x14ac:dyDescent="0.35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 t="str">
        <f t="shared" si="11"/>
        <v>ORD20072544997C95269Chair194.85372 Main StGift CardReturnedTRK45670926</v>
      </c>
    </row>
    <row r="728" spans="1:15" x14ac:dyDescent="0.35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t="str">
        <f t="shared" si="11"/>
        <v>ORD20072645590C18105Laptop583.02338 Main StOnlineDeliveredTRK94006117</v>
      </c>
    </row>
    <row r="729" spans="1:15" x14ac:dyDescent="0.35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t="str">
        <f t="shared" si="11"/>
        <v>ORD20072745564C29063Chair95.75379 Main StOnlineShippedTRK92745947</v>
      </c>
    </row>
    <row r="730" spans="1:15" x14ac:dyDescent="0.35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t="str">
        <f t="shared" si="11"/>
        <v>ORD20072845502C10154Desk325.76827 Main StGift CardShippedTRK79793300</v>
      </c>
    </row>
    <row r="731" spans="1:15" x14ac:dyDescent="0.35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t="str">
        <f t="shared" si="11"/>
        <v>ORD20072945177C36997Phone186.41819 Main StGift CardPendingTRK92794872</v>
      </c>
    </row>
    <row r="732" spans="1:15" x14ac:dyDescent="0.35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t="str">
        <f t="shared" si="11"/>
        <v>ORD20073045710C77357Phone474.6407 Main StDebit CardDeliveredTRK91943923</v>
      </c>
    </row>
    <row r="733" spans="1:15" x14ac:dyDescent="0.35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 t="str">
        <f t="shared" si="11"/>
        <v>ORD20073145450C71310Printer584.46308 Main StCredit CardReturnedTRK48292586</v>
      </c>
    </row>
    <row r="734" spans="1:15" x14ac:dyDescent="0.35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 t="str">
        <f t="shared" si="11"/>
        <v>ORD20073245723C80987Laptop132.05787 Main StOnlineDeliveredTRK42187776</v>
      </c>
    </row>
    <row r="735" spans="1:15" x14ac:dyDescent="0.35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t="str">
        <f t="shared" si="11"/>
        <v>ORD20073345264C90757Tablet494.84694 Main StCashReturnedTRK87991608</v>
      </c>
    </row>
    <row r="736" spans="1:15" x14ac:dyDescent="0.35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t="str">
        <f t="shared" si="11"/>
        <v>ORD20073445314C51898Printer224.61630 Main StCredit CardReturnedTRK19767885</v>
      </c>
    </row>
    <row r="737" spans="1:15" x14ac:dyDescent="0.35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 t="str">
        <f t="shared" si="11"/>
        <v>ORD20073545471C94508Monitor44.07359 Main StDebit CardPendingTRK13443264</v>
      </c>
    </row>
    <row r="738" spans="1:15" x14ac:dyDescent="0.35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t="str">
        <f t="shared" si="11"/>
        <v>ORD20073645331C59441Monitor418.53696 Main StCredit CardPendingTRK66186874</v>
      </c>
    </row>
    <row r="739" spans="1:15" x14ac:dyDescent="0.35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t="str">
        <f t="shared" si="11"/>
        <v>ORD20073745294C91029Phone532.87972 Main StCashPendingTRK25501930</v>
      </c>
    </row>
    <row r="740" spans="1:15" x14ac:dyDescent="0.35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t="str">
        <f t="shared" si="11"/>
        <v>ORD20073845812C96261Phone485.37264 Main StCredit CardShippedTRK44998396</v>
      </c>
    </row>
    <row r="741" spans="1:15" x14ac:dyDescent="0.35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t="str">
        <f t="shared" si="11"/>
        <v>ORD20073945456C35123Phone386.73513 Main StCashDeliveredTRK58979275</v>
      </c>
    </row>
    <row r="742" spans="1:15" x14ac:dyDescent="0.35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 t="str">
        <f t="shared" si="11"/>
        <v>ORD20074045493C10892Desk377.47433 Main StCashPendingTRK76154554</v>
      </c>
    </row>
    <row r="743" spans="1:15" x14ac:dyDescent="0.35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 t="str">
        <f t="shared" si="11"/>
        <v>ORD20074145680C99683Monitor332.64945 Main StGift CardDeliveredTRK87305883</v>
      </c>
    </row>
    <row r="744" spans="1:15" x14ac:dyDescent="0.35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t="str">
        <f t="shared" si="11"/>
        <v>ORD20074245626C41974Laptop699.93726 Main StCashReturnedTRK48051468</v>
      </c>
    </row>
    <row r="745" spans="1:15" x14ac:dyDescent="0.35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t="str">
        <f t="shared" si="11"/>
        <v>ORD20074345565C23978Monitor576.35549 Main StGift CardReturnedTRK87090813</v>
      </c>
    </row>
    <row r="746" spans="1:15" x14ac:dyDescent="0.35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t="str">
        <f t="shared" si="11"/>
        <v>ORD20074445455C10642Tablet461.37200 Main StCashDeliveredTRK98725693</v>
      </c>
    </row>
    <row r="747" spans="1:15" x14ac:dyDescent="0.35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t="str">
        <f t="shared" si="11"/>
        <v>ORD20074544987C73813Printer111.3364 Main StDebit CardPendingTRK89906749</v>
      </c>
    </row>
    <row r="748" spans="1:15" x14ac:dyDescent="0.35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t="str">
        <f t="shared" si="11"/>
        <v>ORD20074645712C32183Desk661.89551 Main StOnlineCancelledTRK76287027</v>
      </c>
    </row>
    <row r="749" spans="1:15" x14ac:dyDescent="0.35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t="str">
        <f t="shared" si="11"/>
        <v>ORD20074745728C54277Tablet259.58940 Main StDebit CardDeliveredTRK26500181</v>
      </c>
    </row>
    <row r="750" spans="1:15" x14ac:dyDescent="0.35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t="str">
        <f t="shared" si="11"/>
        <v>ORD20074845488C56553Tablet70.81249 Main StCredit CardShippedTRK37667360</v>
      </c>
    </row>
    <row r="751" spans="1:15" x14ac:dyDescent="0.35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t="str">
        <f t="shared" si="11"/>
        <v>ORD20074945760C17551Laptop518.39997 Main StDebit CardPendingTRK88797170</v>
      </c>
    </row>
    <row r="752" spans="1:15" x14ac:dyDescent="0.35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t="str">
        <f t="shared" si="11"/>
        <v>ORD20075044940C14737Tablet145.41637 Main StCredit CardReturnedTRK10295115</v>
      </c>
    </row>
    <row r="753" spans="1:15" x14ac:dyDescent="0.35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t="str">
        <f t="shared" si="11"/>
        <v>ORD20075144950C35168Tablet599.86455 Main StGift CardPendingTRK76960854</v>
      </c>
    </row>
    <row r="754" spans="1:15" x14ac:dyDescent="0.35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t="str">
        <f t="shared" si="11"/>
        <v>ORD20075245568C82217Phone429.37299 Main StCredit CardDeliveredTRK33305694</v>
      </c>
    </row>
    <row r="755" spans="1:15" x14ac:dyDescent="0.35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t="str">
        <f t="shared" si="11"/>
        <v>ORD20075345406C42270Phone241.49864 Main StDebit CardReturnedTRK72697796</v>
      </c>
    </row>
    <row r="756" spans="1:15" x14ac:dyDescent="0.35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t="str">
        <f t="shared" si="11"/>
        <v>ORD20075445808C48846Printer452.05983 Main StCredit CardReturnedTRK52804097</v>
      </c>
    </row>
    <row r="757" spans="1:15" x14ac:dyDescent="0.35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 t="str">
        <f t="shared" si="11"/>
        <v>ORD20075545090C54160Desk336.71658 Main StCredit CardPendingTRK60515972</v>
      </c>
    </row>
    <row r="758" spans="1:15" x14ac:dyDescent="0.35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 t="str">
        <f t="shared" si="11"/>
        <v>ORD20075645470C14080Phone283.69202 Main StGift CardShippedTRK93163682</v>
      </c>
    </row>
    <row r="759" spans="1:15" x14ac:dyDescent="0.35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t="str">
        <f t="shared" si="11"/>
        <v>ORD20075745344C81074Desk157.72597 Main StDebit CardDeliveredTRK91105190</v>
      </c>
    </row>
    <row r="760" spans="1:15" x14ac:dyDescent="0.35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t="str">
        <f t="shared" si="11"/>
        <v>ORD20075845011C69021Tablet624.84917 Main StCredit CardCancelledTRK57148510</v>
      </c>
    </row>
    <row r="761" spans="1:15" x14ac:dyDescent="0.35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t="str">
        <f t="shared" si="11"/>
        <v>ORD20075945131C96283Desk308.01366 Main StCashPendingTRK91784124</v>
      </c>
    </row>
    <row r="762" spans="1:15" x14ac:dyDescent="0.35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 t="str">
        <f t="shared" si="11"/>
        <v>ORD20076045706C96636Desk39.56283 Main StDebit CardCancelledTRK73324346</v>
      </c>
    </row>
    <row r="763" spans="1:15" x14ac:dyDescent="0.35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 t="str">
        <f t="shared" si="11"/>
        <v>ORD20076145079C37235Desk37.76217 Main StDebit CardDeliveredTRK67789367</v>
      </c>
    </row>
    <row r="764" spans="1:15" x14ac:dyDescent="0.35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t="str">
        <f t="shared" si="11"/>
        <v>ORD20076245552C12444Phone76.96611 Main StCashReturnedTRK97621403</v>
      </c>
    </row>
    <row r="765" spans="1:15" x14ac:dyDescent="0.35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t="str">
        <f t="shared" si="11"/>
        <v>ORD20076345022C79142Laptop569.96533 Main StOnlineDeliveredTRK30915955</v>
      </c>
    </row>
    <row r="766" spans="1:15" x14ac:dyDescent="0.35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t="str">
        <f t="shared" si="11"/>
        <v>ORD20076445361C35983Laptop627.43806 Main StCredit CardCancelledTRK14016163</v>
      </c>
    </row>
    <row r="767" spans="1:15" x14ac:dyDescent="0.35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t="str">
        <f t="shared" si="11"/>
        <v>ORD20076545205C36150Laptop534.91281 Main StDebit CardReturnedTRK96249043</v>
      </c>
    </row>
    <row r="768" spans="1:15" x14ac:dyDescent="0.35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t="str">
        <f t="shared" si="11"/>
        <v>ORD20076644948C91454Printer278.88494 Main StDebit CardPendingTRK99985340</v>
      </c>
    </row>
    <row r="769" spans="1:15" x14ac:dyDescent="0.35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 t="str">
        <f t="shared" si="11"/>
        <v>ORD20076745765C19368Tablet323.22517 Main StCredit CardDeliveredTRK80436037</v>
      </c>
    </row>
    <row r="770" spans="1:15" x14ac:dyDescent="0.35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t="str">
        <f t="shared" si="11"/>
        <v>ORD20076845173C35987Tablet653.46165 Main StCashCancelledTRK28918815</v>
      </c>
    </row>
    <row r="771" spans="1:15" x14ac:dyDescent="0.35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 t="str">
        <f t="shared" ref="O771:O834" si="12">A771&amp;B771&amp;C771&amp;D771&amp;F771&amp;G771&amp;H771&amp;I771&amp;J771</f>
        <v>ORD20076945113C13366Printer678.55568 Main StCashDeliveredTRK98691410</v>
      </c>
    </row>
    <row r="772" spans="1:15" x14ac:dyDescent="0.35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 t="str">
        <f t="shared" si="12"/>
        <v>ORD20077045333C72166Desk314.38227 Main StOnlineReturnedTRK67733444</v>
      </c>
    </row>
    <row r="773" spans="1:15" x14ac:dyDescent="0.35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t="str">
        <f t="shared" si="12"/>
        <v>ORD20077145455C20357Phone692.44272 Main StDebit CardCancelledTRK82236408</v>
      </c>
    </row>
    <row r="774" spans="1:15" x14ac:dyDescent="0.35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 t="str">
        <f t="shared" si="12"/>
        <v>ORD20077245501C33802Monitor604.87461 Main StOnlineDeliveredTRK25799478</v>
      </c>
    </row>
    <row r="775" spans="1:15" x14ac:dyDescent="0.35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 t="str">
        <f t="shared" si="12"/>
        <v>ORD20077345836C99205Phone512.33415 Main StCashCancelledTRK48904015</v>
      </c>
    </row>
    <row r="776" spans="1:15" x14ac:dyDescent="0.35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t="str">
        <f t="shared" si="12"/>
        <v>ORD20077445762C29701Chair20.54257 Main StCredit CardCancelledTRK42266846</v>
      </c>
    </row>
    <row r="777" spans="1:15" x14ac:dyDescent="0.35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 t="str">
        <f t="shared" si="12"/>
        <v>ORD20077544989C73941Phone625.22569 Main StOnlineCancelledTRK22051900</v>
      </c>
    </row>
    <row r="778" spans="1:15" x14ac:dyDescent="0.35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t="str">
        <f t="shared" si="12"/>
        <v>ORD20077645159C69168Tablet21.19482 Main StCashReturnedTRK10446197</v>
      </c>
    </row>
    <row r="779" spans="1:15" x14ac:dyDescent="0.35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 t="str">
        <f t="shared" si="12"/>
        <v>ORD20077745737C66116Chair64.49633 Main StOnlineCancelledTRK41967983</v>
      </c>
    </row>
    <row r="780" spans="1:15" x14ac:dyDescent="0.35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t="str">
        <f t="shared" si="12"/>
        <v>ORD20077845044C85059Laptop246.85316 Main StCredit CardShippedTRK56503740</v>
      </c>
    </row>
    <row r="781" spans="1:15" x14ac:dyDescent="0.35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t="str">
        <f t="shared" si="12"/>
        <v>ORD20077945261C18076Phone588.74751 Main StDebit CardPendingTRK26661705</v>
      </c>
    </row>
    <row r="782" spans="1:15" x14ac:dyDescent="0.35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t="str">
        <f t="shared" si="12"/>
        <v>ORD20078045382C41284Laptop184.48661 Main StOnlineCancelledTRK73613128</v>
      </c>
    </row>
    <row r="783" spans="1:15" x14ac:dyDescent="0.35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t="str">
        <f t="shared" si="12"/>
        <v>ORD20078145301C43524Phone524.26934 Main StGift CardDeliveredTRK51479426</v>
      </c>
    </row>
    <row r="784" spans="1:15" x14ac:dyDescent="0.35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t="str">
        <f t="shared" si="12"/>
        <v>ORD20078245515C58063Monitor493.63167 Main StOnlineReturnedTRK50548869</v>
      </c>
    </row>
    <row r="785" spans="1:15" x14ac:dyDescent="0.35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t="str">
        <f t="shared" si="12"/>
        <v>ORD20078345803C19937Printer438.34281 Main StGift CardReturnedTRK46990083</v>
      </c>
    </row>
    <row r="786" spans="1:15" x14ac:dyDescent="0.35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t="str">
        <f t="shared" si="12"/>
        <v>ORD20078445793C21191Laptop325.81232 Main StCredit CardPendingTRK85771230</v>
      </c>
    </row>
    <row r="787" spans="1:15" x14ac:dyDescent="0.35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t="str">
        <f t="shared" si="12"/>
        <v>ORD20078545136C45862Chair176.1342 Main StCredit CardPendingTRK53089983</v>
      </c>
    </row>
    <row r="788" spans="1:15" x14ac:dyDescent="0.35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 t="str">
        <f t="shared" si="12"/>
        <v>ORD20078645161C39130Chair45.31774 Main StOnlineCancelledTRK99583414</v>
      </c>
    </row>
    <row r="789" spans="1:15" x14ac:dyDescent="0.35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 t="str">
        <f t="shared" si="12"/>
        <v>ORD20078745368C18167Desk221.96193 Main StCashDeliveredTRK36841089</v>
      </c>
    </row>
    <row r="790" spans="1:15" x14ac:dyDescent="0.35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t="str">
        <f t="shared" si="12"/>
        <v>ORD20078845232C47307Chair601.43761 Main StOnlinePendingTRK43516112</v>
      </c>
    </row>
    <row r="791" spans="1:15" x14ac:dyDescent="0.35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t="str">
        <f t="shared" si="12"/>
        <v>ORD20078945155C57276Tablet691.28183 Main StOnlineDeliveredTRK75899752</v>
      </c>
    </row>
    <row r="792" spans="1:15" x14ac:dyDescent="0.35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 t="str">
        <f t="shared" si="12"/>
        <v>ORD20079045549C38928Laptop417.89302 Main StGift CardPendingTRK96636009</v>
      </c>
    </row>
    <row r="793" spans="1:15" x14ac:dyDescent="0.35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 t="str">
        <f t="shared" si="12"/>
        <v>ORD20079145304C49710Chair409.28956 Main StCashPendingTRK92591237</v>
      </c>
    </row>
    <row r="794" spans="1:15" x14ac:dyDescent="0.35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t="str">
        <f t="shared" si="12"/>
        <v>ORD20079245093C41709Desk356.35746 Main StDebit CardReturnedTRK90995294</v>
      </c>
    </row>
    <row r="795" spans="1:15" x14ac:dyDescent="0.35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 t="str">
        <f t="shared" si="12"/>
        <v>ORD20079345397C91255Chair170.22769 Main StDebit CardDeliveredTRK69599961</v>
      </c>
    </row>
    <row r="796" spans="1:15" x14ac:dyDescent="0.35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t="str">
        <f t="shared" si="12"/>
        <v>ORD20079444994C76653Printer384.85988 Main StOnlineDeliveredTRK77052196</v>
      </c>
    </row>
    <row r="797" spans="1:15" x14ac:dyDescent="0.35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t="str">
        <f t="shared" si="12"/>
        <v>ORD20079545616C95667Laptop115.77586 Main StOnlinePendingTRK41266666</v>
      </c>
    </row>
    <row r="798" spans="1:15" x14ac:dyDescent="0.35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t="str">
        <f t="shared" si="12"/>
        <v>ORD20079645776C33313Phone579.55882 Main StGift CardReturnedTRK13349970</v>
      </c>
    </row>
    <row r="799" spans="1:15" x14ac:dyDescent="0.35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 t="str">
        <f t="shared" si="12"/>
        <v>ORD20079744984C36825Laptop438.76426 Main StDebit CardReturnedTRK72557318</v>
      </c>
    </row>
    <row r="800" spans="1:15" x14ac:dyDescent="0.35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t="str">
        <f t="shared" si="12"/>
        <v>ORD20079845796C20861Phone488.35968 Main StDebit CardReturnedTRK89372013</v>
      </c>
    </row>
    <row r="801" spans="1:15" x14ac:dyDescent="0.35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t="str">
        <f t="shared" si="12"/>
        <v>ORD20079945032C26364Laptop328.56803 Main StDebit CardReturnedTRK78924436</v>
      </c>
    </row>
    <row r="802" spans="1:15" x14ac:dyDescent="0.35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t="str">
        <f t="shared" si="12"/>
        <v>ORD20080045744C34686Tablet68.39412 Main StOnlineReturnedTRK99468332</v>
      </c>
    </row>
    <row r="803" spans="1:15" x14ac:dyDescent="0.35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t="str">
        <f t="shared" si="12"/>
        <v>ORD20080145049C97593Printer595.62738 Main StDebit CardPendingTRK58443593</v>
      </c>
    </row>
    <row r="804" spans="1:15" x14ac:dyDescent="0.35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t="str">
        <f t="shared" si="12"/>
        <v>ORD20080245339C84331Chair644.64205 Main StGift CardCancelledTRK34440714</v>
      </c>
    </row>
    <row r="805" spans="1:15" x14ac:dyDescent="0.35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t="str">
        <f t="shared" si="12"/>
        <v>ORD20080345158C88775Monitor397.81223 Main StDebit CardReturnedTRK45098068</v>
      </c>
    </row>
    <row r="806" spans="1:15" x14ac:dyDescent="0.35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t="str">
        <f t="shared" si="12"/>
        <v>ORD20080445292C76362Chair236.5916 Main StOnlineDeliveredTRK11868618</v>
      </c>
    </row>
    <row r="807" spans="1:15" x14ac:dyDescent="0.35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t="str">
        <f t="shared" si="12"/>
        <v>ORD20080545580C59278Laptop472.01178 Main StGift CardCancelledTRK14590037</v>
      </c>
    </row>
    <row r="808" spans="1:15" x14ac:dyDescent="0.35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t="str">
        <f t="shared" si="12"/>
        <v>ORD20080645170C55819Chair253.75740 Main StOnlinePendingTRK13775054</v>
      </c>
    </row>
    <row r="809" spans="1:15" x14ac:dyDescent="0.35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t="str">
        <f t="shared" si="12"/>
        <v>ORD20080745606C82344Monitor676.21260 Main StOnlineDeliveredTRK70957219</v>
      </c>
    </row>
    <row r="810" spans="1:15" x14ac:dyDescent="0.35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 t="str">
        <f t="shared" si="12"/>
        <v>ORD20080845335C65565Desk134.05192 Main StCredit CardShippedTRK80383756</v>
      </c>
    </row>
    <row r="811" spans="1:15" x14ac:dyDescent="0.35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t="str">
        <f t="shared" si="12"/>
        <v>ORD20080945391C80416Desk217.43752 Main StDebit CardShippedTRK54385892</v>
      </c>
    </row>
    <row r="812" spans="1:15" x14ac:dyDescent="0.35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 t="str">
        <f t="shared" si="12"/>
        <v>ORD20081045077C23637Tablet553.56644 Main StCredit CardCancelledTRK16749863</v>
      </c>
    </row>
    <row r="813" spans="1:15" x14ac:dyDescent="0.35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t="str">
        <f t="shared" si="12"/>
        <v>ORD20081145235C24769Laptop28.55864 Main StGift CardShippedTRK44538305</v>
      </c>
    </row>
    <row r="814" spans="1:15" x14ac:dyDescent="0.35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t="str">
        <f t="shared" si="12"/>
        <v>ORD20081245317C81547Phone255.26803 Main StCredit CardCancelledTRK88437123</v>
      </c>
    </row>
    <row r="815" spans="1:15" x14ac:dyDescent="0.35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t="str">
        <f t="shared" si="12"/>
        <v>ORD20081345731C12813Laptop292.54263 Main StDebit CardCancelledTRK36131660</v>
      </c>
    </row>
    <row r="816" spans="1:15" x14ac:dyDescent="0.35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t="str">
        <f t="shared" si="12"/>
        <v>ORD20081445637C50732Chair147.51979 Main StDebit CardPendingTRK21082461</v>
      </c>
    </row>
    <row r="817" spans="1:15" x14ac:dyDescent="0.35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t="str">
        <f t="shared" si="12"/>
        <v>ORD20081545508C41320Printer569.84920 Main StGift CardCancelledTRK77539180</v>
      </c>
    </row>
    <row r="818" spans="1:15" x14ac:dyDescent="0.35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t="str">
        <f t="shared" si="12"/>
        <v>ORD20081645343C55286Tablet574.79497 Main StCredit CardPendingTRK39058734</v>
      </c>
    </row>
    <row r="819" spans="1:15" x14ac:dyDescent="0.35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t="str">
        <f t="shared" si="12"/>
        <v>ORD20081745204C87994Chair598.19430 Main StCredit CardDeliveredTRK98883971</v>
      </c>
    </row>
    <row r="820" spans="1:15" x14ac:dyDescent="0.35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t="str">
        <f t="shared" si="12"/>
        <v>ORD20081844987C25580Phone390.84860 Main StCredit CardCancelledTRK58781638</v>
      </c>
    </row>
    <row r="821" spans="1:15" x14ac:dyDescent="0.35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t="str">
        <f t="shared" si="12"/>
        <v>ORD20081945563C66196Phone398.45650 Main StDebit CardCancelledTRK38104650</v>
      </c>
    </row>
    <row r="822" spans="1:15" x14ac:dyDescent="0.35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t="str">
        <f t="shared" si="12"/>
        <v>ORD20082045073C35377Phone623.81171 Main StCashReturnedTRK17342157</v>
      </c>
    </row>
    <row r="823" spans="1:15" x14ac:dyDescent="0.35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t="str">
        <f t="shared" si="12"/>
        <v>ORD20082145640C40771Laptop174.49259 Main StCredit CardDeliveredTRK56310345</v>
      </c>
    </row>
    <row r="824" spans="1:15" x14ac:dyDescent="0.35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t="str">
        <f t="shared" si="12"/>
        <v>ORD20082245731C20624Phone479.56923 Main StGift CardReturnedTRK45123395</v>
      </c>
    </row>
    <row r="825" spans="1:15" x14ac:dyDescent="0.35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t="str">
        <f t="shared" si="12"/>
        <v>ORD20082345572C27070Laptop653.13973 Main StCredit CardShippedTRK83842481</v>
      </c>
    </row>
    <row r="826" spans="1:15" x14ac:dyDescent="0.35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t="str">
        <f t="shared" si="12"/>
        <v>ORD20082445167C18826Monitor481.1664 Main StCredit CardReturnedTRK12530495</v>
      </c>
    </row>
    <row r="827" spans="1:15" x14ac:dyDescent="0.35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t="str">
        <f t="shared" si="12"/>
        <v>ORD20082545742C23899Desk271.69543 Main StOnlineReturnedTRK88914760</v>
      </c>
    </row>
    <row r="828" spans="1:15" x14ac:dyDescent="0.35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t="str">
        <f t="shared" si="12"/>
        <v>ORD20082645724C43249Printer463.81283 Main StOnlineReturnedTRK32469820</v>
      </c>
    </row>
    <row r="829" spans="1:15" x14ac:dyDescent="0.35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t="str">
        <f t="shared" si="12"/>
        <v>ORD20082745071C95856Tablet639.88432 Main StCashDeliveredTRK58829625</v>
      </c>
    </row>
    <row r="830" spans="1:15" x14ac:dyDescent="0.35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t="str">
        <f t="shared" si="12"/>
        <v>ORD20082845497C86266Chair404.58510 Main StCashShippedTRK64576020</v>
      </c>
    </row>
    <row r="831" spans="1:15" x14ac:dyDescent="0.35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t="str">
        <f t="shared" si="12"/>
        <v>ORD20082944962C39551Monitor76.93685 Main StDebit CardDeliveredTRK68358007</v>
      </c>
    </row>
    <row r="832" spans="1:15" x14ac:dyDescent="0.35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t="str">
        <f t="shared" si="12"/>
        <v>ORD20083045637C90310Tablet190.64853 Main StCashDeliveredTRK70028457</v>
      </c>
    </row>
    <row r="833" spans="1:15" x14ac:dyDescent="0.35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 t="str">
        <f t="shared" si="12"/>
        <v>ORD20083145278C20124Printer88.73140 Main StOnlinePendingTRK61346824</v>
      </c>
    </row>
    <row r="834" spans="1:15" x14ac:dyDescent="0.35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t="str">
        <f t="shared" si="12"/>
        <v>ORD20083245363C63372Chair485.71903 Main StOnlinePendingTRK14661811</v>
      </c>
    </row>
    <row r="835" spans="1:15" x14ac:dyDescent="0.35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t="str">
        <f t="shared" ref="O835:O898" si="13">A835&amp;B835&amp;C835&amp;D835&amp;F835&amp;G835&amp;H835&amp;I835&amp;J835</f>
        <v>ORD20083345730C90595Phone78.29508 Main StCredit CardShippedTRK96573803</v>
      </c>
    </row>
    <row r="836" spans="1:15" x14ac:dyDescent="0.35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 t="str">
        <f t="shared" si="13"/>
        <v>ORD20083445393C98483Printer22.14456 Main StCashReturnedTRK22084320</v>
      </c>
    </row>
    <row r="837" spans="1:15" x14ac:dyDescent="0.35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t="str">
        <f t="shared" si="13"/>
        <v>ORD20083545377C16429Desk679.65390 Main StDebit CardShippedTRK73888013</v>
      </c>
    </row>
    <row r="838" spans="1:15" x14ac:dyDescent="0.35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t="str">
        <f t="shared" si="13"/>
        <v>ORD20083644959C31810Phone178.44328 Main StCredit CardCancelledTRK58725886</v>
      </c>
    </row>
    <row r="839" spans="1:15" x14ac:dyDescent="0.35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 t="str">
        <f t="shared" si="13"/>
        <v>ORD20083745822C88029Chair655.55282 Main StOnlineDeliveredTRK59701278</v>
      </c>
    </row>
    <row r="840" spans="1:15" x14ac:dyDescent="0.35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 t="str">
        <f t="shared" si="13"/>
        <v>ORD20083845393C57798Desk577.08384 Main StOnlinePendingTRK68797566</v>
      </c>
    </row>
    <row r="841" spans="1:15" x14ac:dyDescent="0.35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 t="str">
        <f t="shared" si="13"/>
        <v>ORD20083945162C82858Chair197.97551 Main StOnlineCancelledTRK90618490</v>
      </c>
    </row>
    <row r="842" spans="1:15" x14ac:dyDescent="0.35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t="str">
        <f t="shared" si="13"/>
        <v>ORD20084045305C60699Chair411.95672 Main StCredit CardDeliveredTRK88660574</v>
      </c>
    </row>
    <row r="843" spans="1:15" x14ac:dyDescent="0.35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 t="str">
        <f t="shared" si="13"/>
        <v>ORD20084145554C94658Printer443.22742 Main StCredit CardDeliveredTRK51732528</v>
      </c>
    </row>
    <row r="844" spans="1:15" x14ac:dyDescent="0.35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t="str">
        <f t="shared" si="13"/>
        <v>ORD20084245784C78305Laptop364.14396 Main StOnlinePendingTRK88312618</v>
      </c>
    </row>
    <row r="845" spans="1:15" x14ac:dyDescent="0.35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t="str">
        <f t="shared" si="13"/>
        <v>ORD20084345790C43538Desk430.06534 Main StGift CardCancelledTRK20961563</v>
      </c>
    </row>
    <row r="846" spans="1:15" x14ac:dyDescent="0.35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t="str">
        <f t="shared" si="13"/>
        <v>ORD20084445630C47486Chair320.92883 Main StOnlineReturnedTRK75984759</v>
      </c>
    </row>
    <row r="847" spans="1:15" x14ac:dyDescent="0.35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t="str">
        <f t="shared" si="13"/>
        <v>ORD20084545207C24212Phone107.36808 Main StGift CardDeliveredTRK68894675</v>
      </c>
    </row>
    <row r="848" spans="1:15" x14ac:dyDescent="0.35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 t="str">
        <f t="shared" si="13"/>
        <v>ORD20084645477C24765Desk359.86646 Main StDebit CardCancelledTRK43977698</v>
      </c>
    </row>
    <row r="849" spans="1:15" x14ac:dyDescent="0.35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t="str">
        <f t="shared" si="13"/>
        <v>ORD20084745614C48176Printer434.23670 Main StOnlineShippedTRK90560300</v>
      </c>
    </row>
    <row r="850" spans="1:15" x14ac:dyDescent="0.35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 t="str">
        <f t="shared" si="13"/>
        <v>ORD20084844927C54675Chair645.85634 Main StOnlineShippedTRK18049633</v>
      </c>
    </row>
    <row r="851" spans="1:15" x14ac:dyDescent="0.35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t="str">
        <f t="shared" si="13"/>
        <v>ORD20084945817C16675Printer214.35664 Main StDebit CardCancelledTRK12756945</v>
      </c>
    </row>
    <row r="852" spans="1:15" x14ac:dyDescent="0.35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t="str">
        <f t="shared" si="13"/>
        <v>ORD20085045774C38557Monitor638.5890 Main StDebit CardCancelledTRK14832238</v>
      </c>
    </row>
    <row r="853" spans="1:15" x14ac:dyDescent="0.35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t="str">
        <f t="shared" si="13"/>
        <v>ORD20085145272C80183Laptop365.57146 Main StOnlineCancelledTRK20814598</v>
      </c>
    </row>
    <row r="854" spans="1:15" x14ac:dyDescent="0.35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t="str">
        <f t="shared" si="13"/>
        <v>ORD20085245589C39530Desk568.05618 Main StGift CardPendingTRK69000497</v>
      </c>
    </row>
    <row r="855" spans="1:15" x14ac:dyDescent="0.35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t="str">
        <f t="shared" si="13"/>
        <v>ORD20085345215C10002Printer490.01894 Main StCashReturnedTRK94641152</v>
      </c>
    </row>
    <row r="856" spans="1:15" x14ac:dyDescent="0.35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t="str">
        <f t="shared" si="13"/>
        <v>ORD20085445821C56938Laptop372.6356 Main StCredit CardDeliveredTRK67735987</v>
      </c>
    </row>
    <row r="857" spans="1:15" x14ac:dyDescent="0.35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t="str">
        <f t="shared" si="13"/>
        <v>ORD20085545071C41331Monitor240.61785 Main StCredit CardShippedTRK94198179</v>
      </c>
    </row>
    <row r="858" spans="1:15" x14ac:dyDescent="0.35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 t="str">
        <f t="shared" si="13"/>
        <v>ORD20085645446C94698Phone586.62871 Main StDebit CardShippedTRK95768773</v>
      </c>
    </row>
    <row r="859" spans="1:15" x14ac:dyDescent="0.35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 t="str">
        <f t="shared" si="13"/>
        <v>ORD20085745361C56506Phone257.84185 Main StOnlineDeliveredTRK86808324</v>
      </c>
    </row>
    <row r="860" spans="1:15" x14ac:dyDescent="0.35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 t="str">
        <f t="shared" si="13"/>
        <v>ORD20085845158C22167Tablet435.66891 Main StOnlinePendingTRK70269748</v>
      </c>
    </row>
    <row r="861" spans="1:15" x14ac:dyDescent="0.35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t="str">
        <f t="shared" si="13"/>
        <v>ORD20085945532C11127Chair261.33154 Main StCredit CardReturnedTRK73285507</v>
      </c>
    </row>
    <row r="862" spans="1:15" x14ac:dyDescent="0.35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t="str">
        <f t="shared" si="13"/>
        <v>ORD20086045314C69542Printer422.54876 Main StCashDeliveredTRK20746505</v>
      </c>
    </row>
    <row r="863" spans="1:15" x14ac:dyDescent="0.35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t="str">
        <f t="shared" si="13"/>
        <v>ORD20086145004C93276Desk330.45230 Main StGift CardShippedTRK44165913</v>
      </c>
    </row>
    <row r="864" spans="1:15" x14ac:dyDescent="0.35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t="str">
        <f t="shared" si="13"/>
        <v>ORD20086245262C37969Desk120.82799 Main StCredit CardShippedTRK69852386</v>
      </c>
    </row>
    <row r="865" spans="1:15" x14ac:dyDescent="0.35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t="str">
        <f t="shared" si="13"/>
        <v>ORD20086345432C98276Phone14.06471 Main StCredit CardPendingTRK74207282</v>
      </c>
    </row>
    <row r="866" spans="1:15" x14ac:dyDescent="0.35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t="str">
        <f t="shared" si="13"/>
        <v>ORD20086445049C14240Desk491.11592 Main StCredit CardDeliveredTRK58095246</v>
      </c>
    </row>
    <row r="867" spans="1:15" x14ac:dyDescent="0.35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t="str">
        <f t="shared" si="13"/>
        <v>ORD20086545046C72241Monitor677.37156 Main StCashPendingTRK76270481</v>
      </c>
    </row>
    <row r="868" spans="1:15" x14ac:dyDescent="0.35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t="str">
        <f t="shared" si="13"/>
        <v>ORD20086645499C39664Desk189.25693 Main StDebit CardCancelledTRK39917741</v>
      </c>
    </row>
    <row r="869" spans="1:15" x14ac:dyDescent="0.35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t="str">
        <f t="shared" si="13"/>
        <v>ORD20086745438C53252Printer142.58351 Main StCashDeliveredTRK65831261</v>
      </c>
    </row>
    <row r="870" spans="1:15" x14ac:dyDescent="0.35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 t="str">
        <f t="shared" si="13"/>
        <v>ORD20086845472C70452Monitor316.32309 Main StDebit CardDeliveredTRK42985882</v>
      </c>
    </row>
    <row r="871" spans="1:15" x14ac:dyDescent="0.35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t="str">
        <f t="shared" si="13"/>
        <v>ORD20086945368C29905Desk533.95790 Main StOnlineDeliveredTRK16788127</v>
      </c>
    </row>
    <row r="872" spans="1:15" x14ac:dyDescent="0.35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t="str">
        <f t="shared" si="13"/>
        <v>ORD20087045809C78725Phone470.09541 Main StDebit CardDeliveredTRK72001139</v>
      </c>
    </row>
    <row r="873" spans="1:15" x14ac:dyDescent="0.35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t="str">
        <f t="shared" si="13"/>
        <v>ORD20087145428C93768Tablet324.3720 Main StDebit CardPendingTRK22024707</v>
      </c>
    </row>
    <row r="874" spans="1:15" x14ac:dyDescent="0.35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 t="str">
        <f t="shared" si="13"/>
        <v>ORD20087245117C59169Chair629.34172 Main StCashShippedTRK90883858</v>
      </c>
    </row>
    <row r="875" spans="1:15" x14ac:dyDescent="0.35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t="str">
        <f t="shared" si="13"/>
        <v>ORD20087345424C53488Desk136.84448 Main StCashDeliveredTRK27365050</v>
      </c>
    </row>
    <row r="876" spans="1:15" x14ac:dyDescent="0.35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t="str">
        <f t="shared" si="13"/>
        <v>ORD20087445230C92180Chair488.9632 Main StCashDeliveredTRK93315929</v>
      </c>
    </row>
    <row r="877" spans="1:15" x14ac:dyDescent="0.35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t="str">
        <f t="shared" si="13"/>
        <v>ORD20087545141C25918Laptop133.39203 Main StCredit CardDeliveredTRK66473392</v>
      </c>
    </row>
    <row r="878" spans="1:15" x14ac:dyDescent="0.35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t="str">
        <f t="shared" si="13"/>
        <v>ORD20087645452C90363Chair608.91200 Main StGift CardPendingTRK21534173</v>
      </c>
    </row>
    <row r="879" spans="1:15" x14ac:dyDescent="0.35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t="str">
        <f t="shared" si="13"/>
        <v>ORD20087745498C43867Tablet524.06269 Main StDebit CardPendingTRK97319127</v>
      </c>
    </row>
    <row r="880" spans="1:15" x14ac:dyDescent="0.35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t="str">
        <f t="shared" si="13"/>
        <v>ORD20087845078C73873Desk330.69393 Main StOnlineCancelledTRK56423132</v>
      </c>
    </row>
    <row r="881" spans="1:15" x14ac:dyDescent="0.35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 t="str">
        <f t="shared" si="13"/>
        <v>ORD20087945755C56622Phone547.67932 Main StGift CardShippedTRK86373987</v>
      </c>
    </row>
    <row r="882" spans="1:15" x14ac:dyDescent="0.35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t="str">
        <f t="shared" si="13"/>
        <v>ORD20088045728C85074Laptop233.7506 Main StOnlineShippedTRK63133878</v>
      </c>
    </row>
    <row r="883" spans="1:15" x14ac:dyDescent="0.35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 t="str">
        <f t="shared" si="13"/>
        <v>ORD20088144929C59579Tablet448.85386 Main StCredit CardPendingTRK48000034</v>
      </c>
    </row>
    <row r="884" spans="1:15" x14ac:dyDescent="0.35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t="str">
        <f t="shared" si="13"/>
        <v>ORD20088245836C43335Phone274.12533 Main StCashDeliveredTRK91848650</v>
      </c>
    </row>
    <row r="885" spans="1:15" x14ac:dyDescent="0.35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t="str">
        <f t="shared" si="13"/>
        <v>ORD20088345790C43595Printer561.48451 Main StOnlineDeliveredTRK25317348</v>
      </c>
    </row>
    <row r="886" spans="1:15" x14ac:dyDescent="0.35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 t="str">
        <f t="shared" si="13"/>
        <v>ORD20088445427C71471Chair595.54817 Main StGift CardShippedTRK52137079</v>
      </c>
    </row>
    <row r="887" spans="1:15" x14ac:dyDescent="0.35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t="str">
        <f t="shared" si="13"/>
        <v>ORD20088545389C61090Laptop515.59387 Main StCredit CardShippedTRK36388962</v>
      </c>
    </row>
    <row r="888" spans="1:15" x14ac:dyDescent="0.35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 t="str">
        <f t="shared" si="13"/>
        <v>ORD20088645224C29620Phone460.13792 Main StCredit CardReturnedTRK22046456</v>
      </c>
    </row>
    <row r="889" spans="1:15" x14ac:dyDescent="0.35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 t="str">
        <f t="shared" si="13"/>
        <v>ORD20088745645C67932Chair171.66857 Main StDebit CardDeliveredTRK88547534</v>
      </c>
    </row>
    <row r="890" spans="1:15" x14ac:dyDescent="0.35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 t="str">
        <f t="shared" si="13"/>
        <v>ORD20088845496C14427Laptop266.95833 Main StCredit CardPendingTRK58024529</v>
      </c>
    </row>
    <row r="891" spans="1:15" x14ac:dyDescent="0.35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t="str">
        <f t="shared" si="13"/>
        <v>ORD20088945592C36725Monitor650.72350 Main StCredit CardCancelledTRK16808790</v>
      </c>
    </row>
    <row r="892" spans="1:15" x14ac:dyDescent="0.35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 t="str">
        <f t="shared" si="13"/>
        <v>ORD20089045149C51921Laptop439.53943 Main StDebit CardPendingTRK85741716</v>
      </c>
    </row>
    <row r="893" spans="1:15" x14ac:dyDescent="0.35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t="str">
        <f t="shared" si="13"/>
        <v>ORD20089145241C36534Monitor654.54918 Main StCashReturnedTRK38952138</v>
      </c>
    </row>
    <row r="894" spans="1:15" x14ac:dyDescent="0.35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t="str">
        <f t="shared" si="13"/>
        <v>ORD20089245447C72043Desk394.53480 Main StCashShippedTRK40896408</v>
      </c>
    </row>
    <row r="895" spans="1:15" x14ac:dyDescent="0.35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t="str">
        <f t="shared" si="13"/>
        <v>ORD20089345006C99533Monitor678.01696 Main StCashPendingTRK55701253</v>
      </c>
    </row>
    <row r="896" spans="1:15" x14ac:dyDescent="0.35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t="str">
        <f t="shared" si="13"/>
        <v>ORD20089445069C90852Tablet575.01852 Main StOnlineCancelledTRK37551831</v>
      </c>
    </row>
    <row r="897" spans="1:15" x14ac:dyDescent="0.35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t="str">
        <f t="shared" si="13"/>
        <v>ORD20089545239C81882Chair154.64832 Main StDebit CardPendingTRK62371264</v>
      </c>
    </row>
    <row r="898" spans="1:15" x14ac:dyDescent="0.35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t="str">
        <f t="shared" si="13"/>
        <v>ORD20089645583C85466Desk147.29102 Main StGift CardShippedTRK66764177</v>
      </c>
    </row>
    <row r="899" spans="1:15" x14ac:dyDescent="0.35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t="str">
        <f t="shared" ref="O899:O962" si="14">A899&amp;B899&amp;C899&amp;D899&amp;F899&amp;G899&amp;H899&amp;I899&amp;J899</f>
        <v>ORD20089745538C87995Laptop481.48358 Main StGift CardDeliveredTRK38730545</v>
      </c>
    </row>
    <row r="900" spans="1:15" x14ac:dyDescent="0.35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 t="str">
        <f t="shared" si="14"/>
        <v>ORD20089845721C44619Monitor158.37742 Main StCashShippedTRK66662528</v>
      </c>
    </row>
    <row r="901" spans="1:15" x14ac:dyDescent="0.35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t="str">
        <f t="shared" si="14"/>
        <v>ORD20089945770C99904Printer323.37552 Main StOnlinePendingTRK83843411</v>
      </c>
    </row>
    <row r="902" spans="1:15" x14ac:dyDescent="0.35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 t="str">
        <f t="shared" si="14"/>
        <v>ORD20090045695C52342Laptop73.83991 Main StDebit CardPendingTRK67342586</v>
      </c>
    </row>
    <row r="903" spans="1:15" x14ac:dyDescent="0.35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t="str">
        <f t="shared" si="14"/>
        <v>ORD20090145410C44277Tablet458.63839 Main StDebit CardReturnedTRK79321479</v>
      </c>
    </row>
    <row r="904" spans="1:15" x14ac:dyDescent="0.35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 t="str">
        <f t="shared" si="14"/>
        <v>ORD20090245486C61162Monitor180.25813 Main StDebit CardCancelledTRK76712124</v>
      </c>
    </row>
    <row r="905" spans="1:15" x14ac:dyDescent="0.35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 t="str">
        <f t="shared" si="14"/>
        <v>ORD20090345063C80868Monitor473.49205 Main StCredit CardPendingTRK56186636</v>
      </c>
    </row>
    <row r="906" spans="1:15" x14ac:dyDescent="0.35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t="str">
        <f t="shared" si="14"/>
        <v>ORD20090445693C16693Monitor237.43262 Main StCashCancelledTRK41146508</v>
      </c>
    </row>
    <row r="907" spans="1:15" x14ac:dyDescent="0.35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t="str">
        <f t="shared" si="14"/>
        <v>ORD20090545253C67818Laptop442.39101 Main StGift CardPendingTRK81978113</v>
      </c>
    </row>
    <row r="908" spans="1:15" x14ac:dyDescent="0.35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 t="str">
        <f t="shared" si="14"/>
        <v>ORD20090645538C49938Monitor62.12141 Main StCashReturnedTRK80175572</v>
      </c>
    </row>
    <row r="909" spans="1:15" x14ac:dyDescent="0.35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t="str">
        <f t="shared" si="14"/>
        <v>ORD20090745508C90898Desk298.39583 Main StGift CardCancelledTRK52935170</v>
      </c>
    </row>
    <row r="910" spans="1:15" x14ac:dyDescent="0.35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t="str">
        <f t="shared" si="14"/>
        <v>ORD20090845783C35117Desk697.93332 Main StCredit CardCancelledTRK27155709</v>
      </c>
    </row>
    <row r="911" spans="1:15" x14ac:dyDescent="0.35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t="str">
        <f t="shared" si="14"/>
        <v>ORD20090945439C60203Tablet291.85569 Main StCashShippedTRK76525279</v>
      </c>
    </row>
    <row r="912" spans="1:15" x14ac:dyDescent="0.35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t="str">
        <f t="shared" si="14"/>
        <v>ORD20091045443C36174Printer308.98348 Main StCashDeliveredTRK26397548</v>
      </c>
    </row>
    <row r="913" spans="1:15" x14ac:dyDescent="0.35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t="str">
        <f t="shared" si="14"/>
        <v>ORD20091145517C80872Desk396.86593 Main StCashCancelledTRK43967487</v>
      </c>
    </row>
    <row r="914" spans="1:15" x14ac:dyDescent="0.35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t="str">
        <f t="shared" si="14"/>
        <v>ORD20091245313C67604Desk139.69318 Main StOnlineReturnedTRK85545920</v>
      </c>
    </row>
    <row r="915" spans="1:15" x14ac:dyDescent="0.35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t="str">
        <f t="shared" si="14"/>
        <v>ORD20091344973C45599Printer475.95505 Main StCredit CardReturnedTRK62277685</v>
      </c>
    </row>
    <row r="916" spans="1:15" x14ac:dyDescent="0.35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t="str">
        <f t="shared" si="14"/>
        <v>ORD20091445698C70352Desk626.6955 Main StGift CardReturnedTRK51589589</v>
      </c>
    </row>
    <row r="917" spans="1:15" x14ac:dyDescent="0.35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t="str">
        <f t="shared" si="14"/>
        <v>ORD20091545338C20643Laptop502.99939 Main StDebit CardShippedTRK30736692</v>
      </c>
    </row>
    <row r="918" spans="1:15" x14ac:dyDescent="0.35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 t="str">
        <f t="shared" si="14"/>
        <v>ORD20091645464C35669Printer578.83165 Main StCashReturnedTRK13928455</v>
      </c>
    </row>
    <row r="919" spans="1:15" x14ac:dyDescent="0.35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t="str">
        <f t="shared" si="14"/>
        <v>ORD20091745677C65524Laptop383.82836 Main StCredit CardReturnedTRK19315310</v>
      </c>
    </row>
    <row r="920" spans="1:15" x14ac:dyDescent="0.35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 t="str">
        <f t="shared" si="14"/>
        <v>ORD20091845832C74359Laptop368.25706 Main StOnlineDeliveredTRK18250450</v>
      </c>
    </row>
    <row r="921" spans="1:15" x14ac:dyDescent="0.35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t="str">
        <f t="shared" si="14"/>
        <v>ORD20091945695C92086Printer374.6187 Main StOnlineShippedTRK23357668</v>
      </c>
    </row>
    <row r="922" spans="1:15" x14ac:dyDescent="0.35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 t="str">
        <f t="shared" si="14"/>
        <v>ORD20092045728C26137Tablet428.09978 Main StCredit CardReturnedTRK98110407</v>
      </c>
    </row>
    <row r="923" spans="1:15" x14ac:dyDescent="0.35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t="str">
        <f t="shared" si="14"/>
        <v>ORD20092145131C90573Tablet438.93144 Main StGift CardCancelledTRK90075720</v>
      </c>
    </row>
    <row r="924" spans="1:15" x14ac:dyDescent="0.35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 t="str">
        <f t="shared" si="14"/>
        <v>ORD20092245460C81857Desk563.82487 Main StCredit CardPendingTRK79737732</v>
      </c>
    </row>
    <row r="925" spans="1:15" x14ac:dyDescent="0.35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t="str">
        <f t="shared" si="14"/>
        <v>ORD20092344968C91582Printer649.93836 Main StCredit CardPendingTRK99938245</v>
      </c>
    </row>
    <row r="926" spans="1:15" x14ac:dyDescent="0.35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t="str">
        <f t="shared" si="14"/>
        <v>ORD20092445738C81319Printer268.43991 Main StCashReturnedTRK55330558</v>
      </c>
    </row>
    <row r="927" spans="1:15" x14ac:dyDescent="0.35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t="str">
        <f t="shared" si="14"/>
        <v>ORD20092545646C78500Monitor502.47304 Main StOnlineShippedTRK97460884</v>
      </c>
    </row>
    <row r="928" spans="1:15" x14ac:dyDescent="0.35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t="str">
        <f t="shared" si="14"/>
        <v>ORD20092645371C67533Desk26.95672 Main StCashDeliveredTRK14566395</v>
      </c>
    </row>
    <row r="929" spans="1:15" x14ac:dyDescent="0.35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t="str">
        <f t="shared" si="14"/>
        <v>ORD20092744971C35566Laptop64.69638 Main StDebit CardShippedTRK10003020</v>
      </c>
    </row>
    <row r="930" spans="1:15" x14ac:dyDescent="0.35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t="str">
        <f t="shared" si="14"/>
        <v>ORD20092845421C77166Laptop247.11821 Main StDebit CardReturnedTRK18896595</v>
      </c>
    </row>
    <row r="931" spans="1:15" x14ac:dyDescent="0.35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 t="str">
        <f t="shared" si="14"/>
        <v>ORD20092945581C67936Tablet536.25553 Main StDebit CardPendingTRK71803414</v>
      </c>
    </row>
    <row r="932" spans="1:15" x14ac:dyDescent="0.35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t="str">
        <f t="shared" si="14"/>
        <v>ORD20093045642C59554Phone456.04382 Main StDebit CardReturnedTRK28182447</v>
      </c>
    </row>
    <row r="933" spans="1:15" x14ac:dyDescent="0.35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t="str">
        <f t="shared" si="14"/>
        <v>ORD20093145292C14005Printer40.23623 Main StCredit CardCancelledTRK87567926</v>
      </c>
    </row>
    <row r="934" spans="1:15" x14ac:dyDescent="0.35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t="str">
        <f t="shared" si="14"/>
        <v>ORD20093245011C26118Laptop72.39168 Main StOnlineDeliveredTRK15334251</v>
      </c>
    </row>
    <row r="935" spans="1:15" x14ac:dyDescent="0.35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 t="str">
        <f t="shared" si="14"/>
        <v>ORD20093344952C59685Monitor394.16255 Main StOnlineShippedTRK43718093</v>
      </c>
    </row>
    <row r="936" spans="1:15" x14ac:dyDescent="0.35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t="str">
        <f t="shared" si="14"/>
        <v>ORD20093445809C40304Laptop119.84692 Main StGift CardShippedTRK85790948</v>
      </c>
    </row>
    <row r="937" spans="1:15" x14ac:dyDescent="0.35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t="str">
        <f t="shared" si="14"/>
        <v>ORD20093545254C39593Phone692.71398 Main StCredit CardDeliveredTRK62405253</v>
      </c>
    </row>
    <row r="938" spans="1:15" x14ac:dyDescent="0.35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t="str">
        <f t="shared" si="14"/>
        <v>ORD20093645303C50612Chair56.66737 Main StOnlineDeliveredTRK44140968</v>
      </c>
    </row>
    <row r="939" spans="1:15" x14ac:dyDescent="0.35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t="str">
        <f t="shared" si="14"/>
        <v>ORD20093745307C39791Chair298.53536 Main StDebit CardCancelledTRK46221436</v>
      </c>
    </row>
    <row r="940" spans="1:15" x14ac:dyDescent="0.35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t="str">
        <f t="shared" si="14"/>
        <v>ORD20093845119C39017Chair331.46696 Main StCredit CardCancelledTRK91155214</v>
      </c>
    </row>
    <row r="941" spans="1:15" x14ac:dyDescent="0.35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t="str">
        <f t="shared" si="14"/>
        <v>ORD20093945763C48510Laptop521.4212 Main StCashDeliveredTRK53152886</v>
      </c>
    </row>
    <row r="942" spans="1:15" x14ac:dyDescent="0.35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t="str">
        <f t="shared" si="14"/>
        <v>ORD20094045012C74003Printer305.32679 Main StOnlineCancelledTRK91525779</v>
      </c>
    </row>
    <row r="943" spans="1:15" x14ac:dyDescent="0.35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t="str">
        <f t="shared" si="14"/>
        <v>ORD20094145124C91155Printer111.7599 Main StCredit CardCancelledTRK82162952</v>
      </c>
    </row>
    <row r="944" spans="1:15" x14ac:dyDescent="0.35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 t="str">
        <f t="shared" si="14"/>
        <v>ORD20094245198C17591Tablet479.76882 Main StCredit CardPendingTRK56070470</v>
      </c>
    </row>
    <row r="945" spans="1:15" x14ac:dyDescent="0.35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t="str">
        <f t="shared" si="14"/>
        <v>ORD20094345287C43330Monitor193.49355 Main StGift CardReturnedTRK71594838</v>
      </c>
    </row>
    <row r="946" spans="1:15" x14ac:dyDescent="0.35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t="str">
        <f t="shared" si="14"/>
        <v>ORD20094445642C32687Laptop426.22448 Main StOnlineDeliveredTRK98284560</v>
      </c>
    </row>
    <row r="947" spans="1:15" x14ac:dyDescent="0.35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t="str">
        <f t="shared" si="14"/>
        <v>ORD20094545158C79722Tablet276.44619 Main StGift CardShippedTRK29976438</v>
      </c>
    </row>
    <row r="948" spans="1:15" x14ac:dyDescent="0.35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t="str">
        <f t="shared" si="14"/>
        <v>ORD20094645416C65021Phone404.96546 Main StCashShippedTRK20626179</v>
      </c>
    </row>
    <row r="949" spans="1:15" x14ac:dyDescent="0.35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t="str">
        <f t="shared" si="14"/>
        <v>ORD20094745176C85520Phone465.66119 Main StOnlineReturnedTRK65994177</v>
      </c>
    </row>
    <row r="950" spans="1:15" x14ac:dyDescent="0.35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 t="str">
        <f t="shared" si="14"/>
        <v>ORD20094845464C94569Phone594.07739 Main StGift CardCancelledTRK79269291</v>
      </c>
    </row>
    <row r="951" spans="1:15" x14ac:dyDescent="0.35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 t="str">
        <f t="shared" si="14"/>
        <v>ORD20094945239C55778Desk110.38319 Main StCashPendingTRK93797108</v>
      </c>
    </row>
    <row r="952" spans="1:15" x14ac:dyDescent="0.35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t="str">
        <f t="shared" si="14"/>
        <v>ORD20095045443C19722Laptop596.24891 Main StCredit CardReturnedTRK78094361</v>
      </c>
    </row>
    <row r="953" spans="1:15" x14ac:dyDescent="0.35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t="str">
        <f t="shared" si="14"/>
        <v>ORD20095145495C74928Printer306.24589 Main StOnlineReturnedTRK39845914</v>
      </c>
    </row>
    <row r="954" spans="1:15" x14ac:dyDescent="0.35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 t="str">
        <f t="shared" si="14"/>
        <v>ORD20095245715C49111Monitor503.39225 Main StOnlinePendingTRK45303393</v>
      </c>
    </row>
    <row r="955" spans="1:15" x14ac:dyDescent="0.35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t="str">
        <f t="shared" si="14"/>
        <v>ORD20095344963C43721Phone131.61971 Main StCashShippedTRK89392104</v>
      </c>
    </row>
    <row r="956" spans="1:15" x14ac:dyDescent="0.35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t="str">
        <f t="shared" si="14"/>
        <v>ORD20095445587C68609Chair443.44240 Main StGift CardShippedTRK58273778</v>
      </c>
    </row>
    <row r="957" spans="1:15" x14ac:dyDescent="0.35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t="str">
        <f t="shared" si="14"/>
        <v>ORD20095544949C82068Chair408.13164 Main StGift CardShippedTRK25779180</v>
      </c>
    </row>
    <row r="958" spans="1:15" x14ac:dyDescent="0.35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t="str">
        <f t="shared" si="14"/>
        <v>ORD20095645393C21191Phone160.98381 Main StDebit CardDeliveredTRK86246309</v>
      </c>
    </row>
    <row r="959" spans="1:15" x14ac:dyDescent="0.35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t="str">
        <f t="shared" si="14"/>
        <v>ORD20095744938C73575Monitor643.89851 Main StCashReturnedTRK23387612</v>
      </c>
    </row>
    <row r="960" spans="1:15" x14ac:dyDescent="0.35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t="str">
        <f t="shared" si="14"/>
        <v>ORD20095845059C82685Desk158.66537 Main StGift CardDeliveredTRK70184320</v>
      </c>
    </row>
    <row r="961" spans="1:15" x14ac:dyDescent="0.35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t="str">
        <f t="shared" si="14"/>
        <v>ORD20095945395C73996Tablet143.82856 Main StCredit CardReturnedTRK74579570</v>
      </c>
    </row>
    <row r="962" spans="1:15" x14ac:dyDescent="0.35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t="str">
        <f t="shared" si="14"/>
        <v>ORD20096045271C87687Laptop379.07312 Main StGift CardPendingTRK60383805</v>
      </c>
    </row>
    <row r="963" spans="1:15" x14ac:dyDescent="0.35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 t="str">
        <f t="shared" ref="O963:O1026" si="15">A963&amp;B963&amp;C963&amp;D963&amp;F963&amp;G963&amp;H963&amp;I963&amp;J963</f>
        <v>ORD20096145607C55464Phone601.36532 Main StOnlineShippedTRK81178598</v>
      </c>
    </row>
    <row r="964" spans="1:15" x14ac:dyDescent="0.35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t="str">
        <f t="shared" si="15"/>
        <v>ORD20096245541C12459Phone142.08838 Main StGift CardDeliveredTRK30674085</v>
      </c>
    </row>
    <row r="965" spans="1:15" x14ac:dyDescent="0.35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t="str">
        <f t="shared" si="15"/>
        <v>ORD20096345362C88075Chair530.34970 Main StOnlineShippedTRK42832976</v>
      </c>
    </row>
    <row r="966" spans="1:15" x14ac:dyDescent="0.35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t="str">
        <f t="shared" si="15"/>
        <v>ORD20096445158C18583Phone364.42778 Main StCredit CardCancelledTRK43084595</v>
      </c>
    </row>
    <row r="967" spans="1:15" x14ac:dyDescent="0.35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t="str">
        <f t="shared" si="15"/>
        <v>ORD20096545826C70412Laptop578.28791 Main StGift CardCancelledTRK22192783</v>
      </c>
    </row>
    <row r="968" spans="1:15" x14ac:dyDescent="0.35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t="str">
        <f t="shared" si="15"/>
        <v>ORD20096645797C58503Monitor280.52290 Main StCredit CardCancelledTRK12981657</v>
      </c>
    </row>
    <row r="969" spans="1:15" x14ac:dyDescent="0.35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t="str">
        <f t="shared" si="15"/>
        <v>ORD20096745783C52879Tablet638.92502 Main StCredit CardReturnedTRK67403284</v>
      </c>
    </row>
    <row r="970" spans="1:15" x14ac:dyDescent="0.35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t="str">
        <f t="shared" si="15"/>
        <v>ORD20096845330C67870Monitor412.2664 Main StCredit CardShippedTRK72602178</v>
      </c>
    </row>
    <row r="971" spans="1:15" x14ac:dyDescent="0.35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t="str">
        <f t="shared" si="15"/>
        <v>ORD20096945813C19439Desk440.34675 Main StGift CardShippedTRK25383993</v>
      </c>
    </row>
    <row r="972" spans="1:15" x14ac:dyDescent="0.35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t="str">
        <f t="shared" si="15"/>
        <v>ORD20097045542C72664Desk627.15241 Main StCashDeliveredTRK86694331</v>
      </c>
    </row>
    <row r="973" spans="1:15" x14ac:dyDescent="0.35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t="str">
        <f t="shared" si="15"/>
        <v>ORD20097145439C32650Monitor605.26934 Main StCashCancelledTRK66648743</v>
      </c>
    </row>
    <row r="974" spans="1:15" x14ac:dyDescent="0.35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t="str">
        <f t="shared" si="15"/>
        <v>ORD20097245452C66438Laptop90.27816 Main StCashDeliveredTRK32035271</v>
      </c>
    </row>
    <row r="975" spans="1:15" x14ac:dyDescent="0.35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t="str">
        <f t="shared" si="15"/>
        <v>ORD20097345817C70010Desk230.77141 Main StOnlinePendingTRK50594008</v>
      </c>
    </row>
    <row r="976" spans="1:15" x14ac:dyDescent="0.35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 t="str">
        <f t="shared" si="15"/>
        <v>ORD20097445196C30722Desk266.78274 Main StGift CardCancelledTRK52088168</v>
      </c>
    </row>
    <row r="977" spans="1:15" x14ac:dyDescent="0.35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t="str">
        <f t="shared" si="15"/>
        <v>ORD20097545064C70529Desk105.92974 Main StGift CardReturnedTRK82165408</v>
      </c>
    </row>
    <row r="978" spans="1:15" x14ac:dyDescent="0.35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t="str">
        <f t="shared" si="15"/>
        <v>ORD20097645386C18984Tablet589.3650 Main StCredit CardReturnedTRK49298239</v>
      </c>
    </row>
    <row r="979" spans="1:15" x14ac:dyDescent="0.35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t="str">
        <f t="shared" si="15"/>
        <v>ORD20097744954C85841Chair649.47608 Main StCashPendingTRK99820544</v>
      </c>
    </row>
    <row r="980" spans="1:15" x14ac:dyDescent="0.35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 t="str">
        <f t="shared" si="15"/>
        <v>ORD20097845468C41508Printer107.49993 Main StCashDeliveredTRK61047536</v>
      </c>
    </row>
    <row r="981" spans="1:15" x14ac:dyDescent="0.35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t="str">
        <f t="shared" si="15"/>
        <v>ORD20097945077C75018Monitor669.06299 Main StCashDeliveredTRK51794806</v>
      </c>
    </row>
    <row r="982" spans="1:15" x14ac:dyDescent="0.35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t="str">
        <f t="shared" si="15"/>
        <v>ORD20098045213C84320Chair69.65107 Main StCashDeliveredTRK81093218</v>
      </c>
    </row>
    <row r="983" spans="1:15" x14ac:dyDescent="0.35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t="str">
        <f t="shared" si="15"/>
        <v>ORD20098145256C12609Phone136.83490 Main StDebit CardPendingTRK56379337</v>
      </c>
    </row>
    <row r="984" spans="1:15" x14ac:dyDescent="0.35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t="str">
        <f t="shared" si="15"/>
        <v>ORD20098245541C64935Monitor304.11707 Main StGift CardShippedTRK42969065</v>
      </c>
    </row>
    <row r="985" spans="1:15" x14ac:dyDescent="0.35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t="str">
        <f t="shared" si="15"/>
        <v>ORD20098345620C67528Monitor296.28110 Main StGift CardShippedTRK60865210</v>
      </c>
    </row>
    <row r="986" spans="1:15" x14ac:dyDescent="0.35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t="str">
        <f t="shared" si="15"/>
        <v>ORD20098445716C44176Desk77.64706 Main StCredit CardShippedTRK68704764</v>
      </c>
    </row>
    <row r="987" spans="1:15" x14ac:dyDescent="0.35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t="str">
        <f t="shared" si="15"/>
        <v>ORD20098545493C92788Desk243.71948 Main StGift CardDeliveredTRK83835361</v>
      </c>
    </row>
    <row r="988" spans="1:15" x14ac:dyDescent="0.35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t="str">
        <f t="shared" si="15"/>
        <v>ORD20098645542C69213Laptop644.96533 Main StCredit CardPendingTRK67837331</v>
      </c>
    </row>
    <row r="989" spans="1:15" x14ac:dyDescent="0.35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t="str">
        <f t="shared" si="15"/>
        <v>ORD20098745813C67387Phone283.73436 Main StGift CardPendingTRK54120003</v>
      </c>
    </row>
    <row r="990" spans="1:15" x14ac:dyDescent="0.35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t="str">
        <f t="shared" si="15"/>
        <v>ORD20098845692C90318Desk629.56818 Main StGift CardCancelledTRK52765043</v>
      </c>
    </row>
    <row r="991" spans="1:15" x14ac:dyDescent="0.35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t="str">
        <f t="shared" si="15"/>
        <v>ORD20098945008C49995Laptop246.11559 Main StCredit CardPendingTRK33212013</v>
      </c>
    </row>
    <row r="992" spans="1:15" x14ac:dyDescent="0.35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t="str">
        <f t="shared" si="15"/>
        <v>ORD20099045249C52313Phone418.26913 Main StDebit CardPendingTRK67368559</v>
      </c>
    </row>
    <row r="993" spans="1:15" x14ac:dyDescent="0.35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t="str">
        <f t="shared" si="15"/>
        <v>ORD20099145421C10211Desk127.18598 Main StDebit CardCancelledTRK68938335</v>
      </c>
    </row>
    <row r="994" spans="1:15" x14ac:dyDescent="0.35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t="str">
        <f t="shared" si="15"/>
        <v>ORD20099245531C97907Printer586.21933 Main StGift CardPendingTRK89637569</v>
      </c>
    </row>
    <row r="995" spans="1:15" x14ac:dyDescent="0.35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t="str">
        <f t="shared" si="15"/>
        <v>ORD20099345388C61384Monitor267.45576 Main StGift CardDeliveredTRK33323210</v>
      </c>
    </row>
    <row r="996" spans="1:15" x14ac:dyDescent="0.35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t="str">
        <f t="shared" si="15"/>
        <v>ORD20099445470C27613Tablet615.65971 Main StDebit CardDeliveredTRK63701318</v>
      </c>
    </row>
    <row r="997" spans="1:15" x14ac:dyDescent="0.35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t="str">
        <f t="shared" si="15"/>
        <v>ORD20099545248C99271Monitor113.29959 Main StCashPendingTRK87832736</v>
      </c>
    </row>
    <row r="998" spans="1:15" x14ac:dyDescent="0.35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t="str">
        <f t="shared" si="15"/>
        <v>ORD20099645410C28648Monitor473.86101 Main StDebit CardDeliveredTRK92240846</v>
      </c>
    </row>
    <row r="999" spans="1:15" x14ac:dyDescent="0.35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t="str">
        <f t="shared" si="15"/>
        <v>ORD20099745257C26210Laptop444.75805 Main StCashDeliveredTRK40616861</v>
      </c>
    </row>
    <row r="1000" spans="1:15" x14ac:dyDescent="0.35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t="str">
        <f t="shared" si="15"/>
        <v>ORD20099845065C90350Phone183.67783 Main StDebit CardCancelledTRK22824230</v>
      </c>
    </row>
    <row r="1001" spans="1:15" x14ac:dyDescent="0.35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t="str">
        <f t="shared" si="15"/>
        <v>ORD20099945284C61957Printer483.38652 Main StCashPendingTRK43983841</v>
      </c>
    </row>
    <row r="1002" spans="1:15" x14ac:dyDescent="0.35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t="str">
        <f t="shared" si="15"/>
        <v>ORD20100045098C90132Printer260.93582 Main StOnlineDeliveredTRK52664903</v>
      </c>
    </row>
    <row r="1003" spans="1:15" x14ac:dyDescent="0.35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 t="str">
        <f t="shared" si="15"/>
        <v>ORD20100145268C31371Printer253.68122 Main StGift CardShippedTRK19554327</v>
      </c>
    </row>
    <row r="1004" spans="1:15" x14ac:dyDescent="0.35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t="str">
        <f t="shared" si="15"/>
        <v>ORD20100245827C83911Tablet699.88944 Main StCashPendingTRK33188106</v>
      </c>
    </row>
    <row r="1005" spans="1:15" x14ac:dyDescent="0.35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t="str">
        <f t="shared" si="15"/>
        <v>ORD20100344937C84700Printer319.97582 Main StCashShippedTRK14706969</v>
      </c>
    </row>
    <row r="1006" spans="1:15" x14ac:dyDescent="0.35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t="str">
        <f t="shared" si="15"/>
        <v>ORD20100445817C87529Chair246.91296 Main StOnlinePendingTRK15739505</v>
      </c>
    </row>
    <row r="1007" spans="1:15" x14ac:dyDescent="0.35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 t="str">
        <f t="shared" si="15"/>
        <v>ORD20100544987C38065Printer392.85426 Main StCredit CardReturnedTRK11448295</v>
      </c>
    </row>
    <row r="1008" spans="1:15" x14ac:dyDescent="0.35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t="str">
        <f t="shared" si="15"/>
        <v>ORD20100645439C27435Tablet420.98860 Main StCashDeliveredTRK91458233</v>
      </c>
    </row>
    <row r="1009" spans="1:15" x14ac:dyDescent="0.35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t="str">
        <f t="shared" si="15"/>
        <v>ORD20100745371C46651Monitor73.26839 Main StCashPendingTRK60444502</v>
      </c>
    </row>
    <row r="1010" spans="1:15" x14ac:dyDescent="0.35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t="str">
        <f t="shared" si="15"/>
        <v>ORD20100844939C62557Monitor410.88257 Main StCashDeliveredTRK12742366</v>
      </c>
    </row>
    <row r="1011" spans="1:15" x14ac:dyDescent="0.35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t="str">
        <f t="shared" si="15"/>
        <v>ORD20100945171C54494Tablet176.46696 Main StCredit CardDeliveredTRK95958645</v>
      </c>
    </row>
    <row r="1012" spans="1:15" x14ac:dyDescent="0.35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t="str">
        <f t="shared" si="15"/>
        <v>ORD20101045016C33729Monitor659.57533 Main StCredit CardCancelledTRK35649833</v>
      </c>
    </row>
    <row r="1013" spans="1:15" x14ac:dyDescent="0.35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 t="str">
        <f t="shared" si="15"/>
        <v>ORD20101145629C47823Phone478.36654 Main StOnlineShippedTRK22271097</v>
      </c>
    </row>
    <row r="1014" spans="1:15" x14ac:dyDescent="0.35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 t="str">
        <f t="shared" si="15"/>
        <v>ORD20101245629C84570Printer30.05301 Main StOnlineReturnedTRK12551882</v>
      </c>
    </row>
    <row r="1015" spans="1:15" x14ac:dyDescent="0.35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t="str">
        <f t="shared" si="15"/>
        <v>ORD20101345773C91123Laptop300.56842 Main StCashCancelledTRK49568409</v>
      </c>
    </row>
    <row r="1016" spans="1:15" x14ac:dyDescent="0.35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t="str">
        <f t="shared" si="15"/>
        <v>ORD20101445326C92548Tablet226.45160 Main StDebit CardReturnedTRK21682892</v>
      </c>
    </row>
    <row r="1017" spans="1:15" x14ac:dyDescent="0.35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t="str">
        <f t="shared" si="15"/>
        <v>ORD20101545317C97454Printer349.4892 Main StOnlineShippedTRK73249329</v>
      </c>
    </row>
    <row r="1018" spans="1:15" x14ac:dyDescent="0.35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t="str">
        <f t="shared" si="15"/>
        <v>ORD20101645289C20257Tablet268.78669 Main StDebit CardDeliveredTRK62135578</v>
      </c>
    </row>
    <row r="1019" spans="1:15" x14ac:dyDescent="0.35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t="str">
        <f t="shared" si="15"/>
        <v>ORD20101745529C51694Chair680.85953 Main StGift CardDeliveredTRK83122112</v>
      </c>
    </row>
    <row r="1020" spans="1:15" x14ac:dyDescent="0.35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 t="str">
        <f t="shared" si="15"/>
        <v>ORD20101845115C77499Laptop182.48209 Main StCashDeliveredTRK20703086</v>
      </c>
    </row>
    <row r="1021" spans="1:15" x14ac:dyDescent="0.35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t="str">
        <f t="shared" si="15"/>
        <v>ORD20101945388C28386Desk277.09293 Main StCashReturnedTRK32954229</v>
      </c>
    </row>
    <row r="1022" spans="1:15" x14ac:dyDescent="0.35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t="str">
        <f t="shared" si="15"/>
        <v>ORD20102045404C50211Tablet26.5312 Main StOnlineDeliveredTRK47787981</v>
      </c>
    </row>
    <row r="1023" spans="1:15" x14ac:dyDescent="0.35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t="str">
        <f t="shared" si="15"/>
        <v>ORD20102145222C74519Phone315.27309 Main StCredit CardCancelledTRK97351945</v>
      </c>
    </row>
    <row r="1024" spans="1:15" x14ac:dyDescent="0.35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t="str">
        <f t="shared" si="15"/>
        <v>ORD20102245712C19071Tablet450.98396 Main StCredit CardShippedTRK66537096</v>
      </c>
    </row>
    <row r="1025" spans="1:15" x14ac:dyDescent="0.35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 t="str">
        <f t="shared" si="15"/>
        <v>ORD20102345558C65251Laptop233.67291 Main StCashShippedTRK32059025</v>
      </c>
    </row>
    <row r="1026" spans="1:15" x14ac:dyDescent="0.35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t="str">
        <f t="shared" si="15"/>
        <v>ORD20102445320C90612Chair367.75731 Main StCashPendingTRK93022878</v>
      </c>
    </row>
    <row r="1027" spans="1:15" x14ac:dyDescent="0.35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t="str">
        <f t="shared" ref="O1027:O1090" si="16">A1027&amp;B1027&amp;C1027&amp;D1027&amp;F1027&amp;G1027&amp;H1027&amp;I1027&amp;J1027</f>
        <v>ORD20102545794C28406Chair23.53174 Main StGift CardDeliveredTRK98841457</v>
      </c>
    </row>
    <row r="1028" spans="1:15" x14ac:dyDescent="0.35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t="str">
        <f t="shared" si="16"/>
        <v>ORD20102645047C55454Monitor677.48807 Main StOnlineDeliveredTRK13281370</v>
      </c>
    </row>
    <row r="1029" spans="1:15" x14ac:dyDescent="0.35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 t="str">
        <f t="shared" si="16"/>
        <v>ORD20102745433C93467Laptop554.83983 Main StCashReturnedTRK77377373</v>
      </c>
    </row>
    <row r="1030" spans="1:15" x14ac:dyDescent="0.35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 t="str">
        <f t="shared" si="16"/>
        <v>ORD20102844974C60042Desk440.31610 Main StCashCancelledTRK84651559</v>
      </c>
    </row>
    <row r="1031" spans="1:15" x14ac:dyDescent="0.35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t="str">
        <f t="shared" si="16"/>
        <v>ORD20102945717C44733Desk87.06851 Main StCredit CardShippedTRK41500198</v>
      </c>
    </row>
    <row r="1032" spans="1:15" x14ac:dyDescent="0.35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t="str">
        <f t="shared" si="16"/>
        <v>ORD20103045201C61773Phone245.28176 Main StCredit CardDeliveredTRK12936357</v>
      </c>
    </row>
    <row r="1033" spans="1:15" x14ac:dyDescent="0.35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t="str">
        <f t="shared" si="16"/>
        <v>ORD20103144985C59183Phone664.51136 Main StDebit CardPendingTRK18129706</v>
      </c>
    </row>
    <row r="1034" spans="1:15" x14ac:dyDescent="0.35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t="str">
        <f t="shared" si="16"/>
        <v>ORD20103245036C26188Chair618.68990 Main StOnlineDeliveredTRK61634201</v>
      </c>
    </row>
    <row r="1035" spans="1:15" x14ac:dyDescent="0.35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t="str">
        <f t="shared" si="16"/>
        <v>ORD20103345650C20338Monitor370.85331 Main StGift CardDeliveredTRK30654048</v>
      </c>
    </row>
    <row r="1036" spans="1:15" x14ac:dyDescent="0.35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t="str">
        <f t="shared" si="16"/>
        <v>ORD20103445459C84524Printer517.98766 Main StCashCancelledTRK76751888</v>
      </c>
    </row>
    <row r="1037" spans="1:15" x14ac:dyDescent="0.35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 t="str">
        <f t="shared" si="16"/>
        <v>ORD20103545242C70315Laptop506.11911 Main StCashCancelledTRK97732085</v>
      </c>
    </row>
    <row r="1038" spans="1:15" x14ac:dyDescent="0.35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t="str">
        <f t="shared" si="16"/>
        <v>ORD20103645443C98278Phone413.83552 Main StGift CardShippedTRK49684737</v>
      </c>
    </row>
    <row r="1039" spans="1:15" x14ac:dyDescent="0.35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t="str">
        <f t="shared" si="16"/>
        <v>ORD20103745273C32347Printer249.81408 Main StCashPendingTRK54073964</v>
      </c>
    </row>
    <row r="1040" spans="1:15" x14ac:dyDescent="0.35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 t="str">
        <f t="shared" si="16"/>
        <v>ORD20103845731C77961Tablet362.53422 Main StDebit CardReturnedTRK28969024</v>
      </c>
    </row>
    <row r="1041" spans="1:15" x14ac:dyDescent="0.35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t="str">
        <f t="shared" si="16"/>
        <v>ORD20103945836C49137Desk299.23177 Main StCredit CardCancelledTRK79362428</v>
      </c>
    </row>
    <row r="1042" spans="1:15" x14ac:dyDescent="0.35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t="str">
        <f t="shared" si="16"/>
        <v>ORD20104045245C13169Tablet536.07932 Main StDebit CardDeliveredTRK66288666</v>
      </c>
    </row>
    <row r="1043" spans="1:15" x14ac:dyDescent="0.35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t="str">
        <f t="shared" si="16"/>
        <v>ORD20104144968C21167Monitor558.9948 Main StGift CardShippedTRK97737564</v>
      </c>
    </row>
    <row r="1044" spans="1:15" x14ac:dyDescent="0.35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t="str">
        <f t="shared" si="16"/>
        <v>ORD20104245635C59724Tablet409.75414 Main StDebit CardShippedTRK67878272</v>
      </c>
    </row>
    <row r="1045" spans="1:15" x14ac:dyDescent="0.35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 t="str">
        <f t="shared" si="16"/>
        <v>ORD20104345668C43965Tablet179.96675 Main StGift CardShippedTRK94346739</v>
      </c>
    </row>
    <row r="1046" spans="1:15" x14ac:dyDescent="0.35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t="str">
        <f t="shared" si="16"/>
        <v>ORD20104445830C63018Printer38.49215 Main StCredit CardDeliveredTRK52335337</v>
      </c>
    </row>
    <row r="1047" spans="1:15" x14ac:dyDescent="0.35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 t="str">
        <f t="shared" si="16"/>
        <v>ORD20104545555C11893Laptop316.4671 Main StGift CardReturnedTRK72012758</v>
      </c>
    </row>
    <row r="1048" spans="1:15" x14ac:dyDescent="0.35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t="str">
        <f t="shared" si="16"/>
        <v>ORD20104645572C85421Tablet547.15466 Main StOnlineShippedTRK16524006</v>
      </c>
    </row>
    <row r="1049" spans="1:15" x14ac:dyDescent="0.35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t="str">
        <f t="shared" si="16"/>
        <v>ORD20104745100C81726Chair540.34394 Main StGift CardShippedTRK69872994</v>
      </c>
    </row>
    <row r="1050" spans="1:15" x14ac:dyDescent="0.35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 t="str">
        <f t="shared" si="16"/>
        <v>ORD20104845544C57601Monitor73.65889 Main StDebit CardShippedTRK21153699</v>
      </c>
    </row>
    <row r="1051" spans="1:15" x14ac:dyDescent="0.35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 t="str">
        <f t="shared" si="16"/>
        <v>ORD20104945491C60575Desk391.86587 Main StCredit CardShippedTRK44468232</v>
      </c>
    </row>
    <row r="1052" spans="1:15" x14ac:dyDescent="0.35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 t="str">
        <f t="shared" si="16"/>
        <v>ORD20105045158C70659Laptop69.7722 Main StOnlineReturnedTRK49663597</v>
      </c>
    </row>
    <row r="1053" spans="1:15" x14ac:dyDescent="0.35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t="str">
        <f t="shared" si="16"/>
        <v>ORD20105145721C35043Monitor26.43820 Main StGift CardShippedTRK65097450</v>
      </c>
    </row>
    <row r="1054" spans="1:15" x14ac:dyDescent="0.35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t="str">
        <f t="shared" si="16"/>
        <v>ORD20105245180C12301Tablet531.74493 Main StOnlineShippedTRK25145796</v>
      </c>
    </row>
    <row r="1055" spans="1:15" x14ac:dyDescent="0.35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t="str">
        <f t="shared" si="16"/>
        <v>ORD20105345550C32798Phone496.62679 Main StOnlinePendingTRK37375451</v>
      </c>
    </row>
    <row r="1056" spans="1:15" x14ac:dyDescent="0.35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t="str">
        <f t="shared" si="16"/>
        <v>ORD20105445259C42949Printer660.66447 Main StDebit CardDeliveredTRK46415143</v>
      </c>
    </row>
    <row r="1057" spans="1:15" x14ac:dyDescent="0.35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t="str">
        <f t="shared" si="16"/>
        <v>ORD20105545222C10787Monitor274.82932 Main StDebit CardDeliveredTRK91512567</v>
      </c>
    </row>
    <row r="1058" spans="1:15" x14ac:dyDescent="0.35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t="str">
        <f t="shared" si="16"/>
        <v>ORD20105645457C26152Phone486.35790 Main StOnlinePendingTRK49382455</v>
      </c>
    </row>
    <row r="1059" spans="1:15" x14ac:dyDescent="0.35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t="str">
        <f t="shared" si="16"/>
        <v>ORD20105745559C46210Laptop428.88535 Main StDebit CardShippedTRK81611937</v>
      </c>
    </row>
    <row r="1060" spans="1:15" x14ac:dyDescent="0.35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t="str">
        <f t="shared" si="16"/>
        <v>ORD20105845177C32943Desk412.14127 Main StCredit CardReturnedTRK26949106</v>
      </c>
    </row>
    <row r="1061" spans="1:15" x14ac:dyDescent="0.35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t="str">
        <f t="shared" si="16"/>
        <v>ORD20105945557C73629Desk265.64601 Main StCredit CardReturnedTRK11492924</v>
      </c>
    </row>
    <row r="1062" spans="1:15" x14ac:dyDescent="0.35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t="str">
        <f t="shared" si="16"/>
        <v>ORD20106045419C38024Tablet273.43824 Main StCashShippedTRK93370912</v>
      </c>
    </row>
    <row r="1063" spans="1:15" x14ac:dyDescent="0.35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t="str">
        <f t="shared" si="16"/>
        <v>ORD20106145686C25445Laptop131.7830 Main StCashShippedTRK12402431</v>
      </c>
    </row>
    <row r="1064" spans="1:15" x14ac:dyDescent="0.35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 t="str">
        <f t="shared" si="16"/>
        <v>ORD20106245161C13501Chair85.52301 Main StGift CardCancelledTRK65149372</v>
      </c>
    </row>
    <row r="1065" spans="1:15" x14ac:dyDescent="0.35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t="str">
        <f t="shared" si="16"/>
        <v>ORD20106345462C42108Desk320.68336 Main StCredit CardShippedTRK58407918</v>
      </c>
    </row>
    <row r="1066" spans="1:15" x14ac:dyDescent="0.35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t="str">
        <f t="shared" si="16"/>
        <v>ORD20106445700C32121Laptop198.81654 Main StCashReturnedTRK96074264</v>
      </c>
    </row>
    <row r="1067" spans="1:15" x14ac:dyDescent="0.35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t="str">
        <f t="shared" si="16"/>
        <v>ORD20106545229C47778Printer666.8488 Main StDebit CardDeliveredTRK79504329</v>
      </c>
    </row>
    <row r="1068" spans="1:15" x14ac:dyDescent="0.35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t="str">
        <f t="shared" si="16"/>
        <v>ORD20106645280C10791Desk355.09674 Main StDebit CardCancelledTRK20321248</v>
      </c>
    </row>
    <row r="1069" spans="1:15" x14ac:dyDescent="0.35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 t="str">
        <f t="shared" si="16"/>
        <v>ORD20106745083C78959Phone316.2384 Main StOnlineReturnedTRK37426359</v>
      </c>
    </row>
    <row r="1070" spans="1:15" x14ac:dyDescent="0.35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t="str">
        <f t="shared" si="16"/>
        <v>ORD20106845507C29914Laptop133.39469 Main StDebit CardShippedTRK22073506</v>
      </c>
    </row>
    <row r="1071" spans="1:15" x14ac:dyDescent="0.35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 t="str">
        <f t="shared" si="16"/>
        <v>ORD20106944982C70506Monitor454.23255 Main StGift CardReturnedTRK12518384</v>
      </c>
    </row>
    <row r="1072" spans="1:15" x14ac:dyDescent="0.35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 t="str">
        <f t="shared" si="16"/>
        <v>ORD20107045541C46873Desk491.29496 Main StDebit CardPendingTRK10926575</v>
      </c>
    </row>
    <row r="1073" spans="1:15" x14ac:dyDescent="0.35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 t="str">
        <f t="shared" si="16"/>
        <v>ORD20107145832C94037Phone255.14216 Main StCashShippedTRK47536985</v>
      </c>
    </row>
    <row r="1074" spans="1:15" x14ac:dyDescent="0.35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t="str">
        <f t="shared" si="16"/>
        <v>ORD20107244983C88644Monitor392.61977 Main StGift CardCancelledTRK14900878</v>
      </c>
    </row>
    <row r="1075" spans="1:15" x14ac:dyDescent="0.35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 t="str">
        <f t="shared" si="16"/>
        <v>ORD20107345576C69471Tablet362.06294 Main StDebit CardReturnedTRK11107152</v>
      </c>
    </row>
    <row r="1076" spans="1:15" x14ac:dyDescent="0.35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 t="str">
        <f t="shared" si="16"/>
        <v>ORD20107445422C21437Phone222.73120 Main StOnlineReturnedTRK81624772</v>
      </c>
    </row>
    <row r="1077" spans="1:15" x14ac:dyDescent="0.35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t="str">
        <f t="shared" si="16"/>
        <v>ORD20107545535C40949Monitor552.63609 Main StDebit CardDeliveredTRK43066749</v>
      </c>
    </row>
    <row r="1078" spans="1:15" x14ac:dyDescent="0.35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 t="str">
        <f t="shared" si="16"/>
        <v>ORD20107645054C99116Laptop686.61176 Main StCashShippedTRK52711973</v>
      </c>
    </row>
    <row r="1079" spans="1:15" x14ac:dyDescent="0.35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t="str">
        <f t="shared" si="16"/>
        <v>ORD20107745723C57861Printer305.16115 Main StCredit CardCancelledTRK47775217</v>
      </c>
    </row>
    <row r="1080" spans="1:15" x14ac:dyDescent="0.35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t="str">
        <f t="shared" si="16"/>
        <v>ORD20107845003C62627Desk41.09881 Main StOnlineReturnedTRK90060232</v>
      </c>
    </row>
    <row r="1081" spans="1:15" x14ac:dyDescent="0.35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 t="str">
        <f t="shared" si="16"/>
        <v>ORD20107945463C89979Phone634144 Main StGift CardDeliveredTRK99055909</v>
      </c>
    </row>
    <row r="1082" spans="1:15" x14ac:dyDescent="0.35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 t="str">
        <f t="shared" si="16"/>
        <v>ORD20108044946C70613Laptop464.74438 Main StGift CardDeliveredTRK33140293</v>
      </c>
    </row>
    <row r="1083" spans="1:15" x14ac:dyDescent="0.35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t="str">
        <f t="shared" si="16"/>
        <v>ORD20108145037C55636Monitor425.6494 Main StCredit CardPendingTRK85897054</v>
      </c>
    </row>
    <row r="1084" spans="1:15" x14ac:dyDescent="0.35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t="str">
        <f t="shared" si="16"/>
        <v>ORD20108245205C96595Chair573.22177 Main StDebit CardPendingTRK59779174</v>
      </c>
    </row>
    <row r="1085" spans="1:15" x14ac:dyDescent="0.35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t="str">
        <f t="shared" si="16"/>
        <v>ORD20108345482C68508Chair123.28895 Main StCredit CardDeliveredTRK98960285</v>
      </c>
    </row>
    <row r="1086" spans="1:15" x14ac:dyDescent="0.35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t="str">
        <f t="shared" si="16"/>
        <v>ORD20108444934C45175Phone70.82128 Main StGift CardPendingTRK41792296</v>
      </c>
    </row>
    <row r="1087" spans="1:15" x14ac:dyDescent="0.35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t="str">
        <f t="shared" si="16"/>
        <v>ORD20108545067C28049Printer646.69404 Main StDebit CardShippedTRK91426444</v>
      </c>
    </row>
    <row r="1088" spans="1:15" x14ac:dyDescent="0.35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t="str">
        <f t="shared" si="16"/>
        <v>ORD20108645283C46967Tablet513.42401 Main StOnlinePendingTRK91439791</v>
      </c>
    </row>
    <row r="1089" spans="1:15" x14ac:dyDescent="0.35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t="str">
        <f t="shared" si="16"/>
        <v>ORD20108745739C84134Laptop693.07530 Main StOnlineShippedTRK48659380</v>
      </c>
    </row>
    <row r="1090" spans="1:15" x14ac:dyDescent="0.35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t="str">
        <f t="shared" si="16"/>
        <v>ORD20108845260C49831Desk491.43213 Main StGift CardShippedTRK21232601</v>
      </c>
    </row>
    <row r="1091" spans="1:15" x14ac:dyDescent="0.35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 t="str">
        <f t="shared" ref="O1091:O1154" si="17">A1091&amp;B1091&amp;C1091&amp;D1091&amp;F1091&amp;G1091&amp;H1091&amp;I1091&amp;J1091</f>
        <v>ORD20108945731C13324Tablet599.74440 Main StGift CardShippedTRK66967997</v>
      </c>
    </row>
    <row r="1092" spans="1:15" x14ac:dyDescent="0.35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 t="str">
        <f t="shared" si="17"/>
        <v>ORD20109044982C61225Monitor650.25996 Main StGift CardReturnedTRK37022954</v>
      </c>
    </row>
    <row r="1093" spans="1:15" x14ac:dyDescent="0.35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 t="str">
        <f t="shared" si="17"/>
        <v>ORD20109145573C16400Laptop209.48123 Main StDebit CardPendingTRK57771859</v>
      </c>
    </row>
    <row r="1094" spans="1:15" x14ac:dyDescent="0.35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t="str">
        <f t="shared" si="17"/>
        <v>ORD20109245159C38642Laptop209.2930 Main StDebit CardDeliveredTRK47744396</v>
      </c>
    </row>
    <row r="1095" spans="1:15" x14ac:dyDescent="0.35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t="str">
        <f t="shared" si="17"/>
        <v>ORD20109345086C86773Phone197.36557 Main StGift CardReturnedTRK22612240</v>
      </c>
    </row>
    <row r="1096" spans="1:15" x14ac:dyDescent="0.35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t="str">
        <f t="shared" si="17"/>
        <v>ORD20109445105C66093Printer648.91615 Main StCredit CardShippedTRK54950785</v>
      </c>
    </row>
    <row r="1097" spans="1:15" x14ac:dyDescent="0.35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t="str">
        <f t="shared" si="17"/>
        <v>ORD20109545405C33051Phone441.54397 Main StOnlineDeliveredTRK92929755</v>
      </c>
    </row>
    <row r="1098" spans="1:15" x14ac:dyDescent="0.35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 t="str">
        <f t="shared" si="17"/>
        <v>ORD20109645780C18169Tablet464.92782 Main StDebit CardReturnedTRK49482923</v>
      </c>
    </row>
    <row r="1099" spans="1:15" x14ac:dyDescent="0.35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t="str">
        <f t="shared" si="17"/>
        <v>ORD20109745652C81370Monitor506.45344 Main StGift CardShippedTRK99682998</v>
      </c>
    </row>
    <row r="1100" spans="1:15" x14ac:dyDescent="0.35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 t="str">
        <f t="shared" si="17"/>
        <v>ORD20109845094C91103Monitor255.86155 Main StCredit CardDeliveredTRK91653000</v>
      </c>
    </row>
    <row r="1101" spans="1:15" x14ac:dyDescent="0.35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t="str">
        <f t="shared" si="17"/>
        <v>ORD20109945554C21953Laptop125.23272 Main StCashCancelledTRK60774796</v>
      </c>
    </row>
    <row r="1102" spans="1:15" x14ac:dyDescent="0.35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t="str">
        <f t="shared" si="17"/>
        <v>ORD20110045155C15146Laptop38.11428 Main StDebit CardCancelledTRK79790530</v>
      </c>
    </row>
    <row r="1103" spans="1:15" x14ac:dyDescent="0.35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t="str">
        <f t="shared" si="17"/>
        <v>ORD20110145816C43546Monitor161.97904 Main StCashPendingTRK85871121</v>
      </c>
    </row>
    <row r="1104" spans="1:15" x14ac:dyDescent="0.35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 t="str">
        <f t="shared" si="17"/>
        <v>ORD20110245446C98474Chair347.17997 Main StDebit CardShippedTRK86192984</v>
      </c>
    </row>
    <row r="1105" spans="1:15" x14ac:dyDescent="0.35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 t="str">
        <f t="shared" si="17"/>
        <v>ORD20110345040C90292Laptop276.32129 Main StOnlineDeliveredTRK26270357</v>
      </c>
    </row>
    <row r="1106" spans="1:15" x14ac:dyDescent="0.35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 t="str">
        <f t="shared" si="17"/>
        <v>ORD20110445498C17075Tablet314.76850 Main StOnlineShippedTRK63547510</v>
      </c>
    </row>
    <row r="1107" spans="1:15" x14ac:dyDescent="0.35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t="str">
        <f t="shared" si="17"/>
        <v>ORD20110545299C12487Tablet475.69884 Main StGift CardCancelledTRK23324770</v>
      </c>
    </row>
    <row r="1108" spans="1:15" x14ac:dyDescent="0.35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t="str">
        <f t="shared" si="17"/>
        <v>ORD20110644997C34555Chair372.8903 Main StCashCancelledTRK72859458</v>
      </c>
    </row>
    <row r="1109" spans="1:15" x14ac:dyDescent="0.35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t="str">
        <f t="shared" si="17"/>
        <v>ORD20110745838C25110Tablet63.21282 Main StOnlineCancelledTRK80963328</v>
      </c>
    </row>
    <row r="1110" spans="1:15" x14ac:dyDescent="0.35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t="str">
        <f t="shared" si="17"/>
        <v>ORD20110845005C35136Laptop634.94462 Main StOnlineCancelledTRK49753703</v>
      </c>
    </row>
    <row r="1111" spans="1:15" x14ac:dyDescent="0.35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t="str">
        <f t="shared" si="17"/>
        <v>ORD20110945390C62277Printer77.47474 Main StGift CardReturnedTRK32026174</v>
      </c>
    </row>
    <row r="1112" spans="1:15" x14ac:dyDescent="0.35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t="str">
        <f t="shared" si="17"/>
        <v>ORD20111045347C12472Chair84.31912 Main StCredit CardShippedTRK36103184</v>
      </c>
    </row>
    <row r="1113" spans="1:15" x14ac:dyDescent="0.35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t="str">
        <f t="shared" si="17"/>
        <v>ORD20111145052C24047Monitor234.45362 Main StOnlineCancelledTRK91338580</v>
      </c>
    </row>
    <row r="1114" spans="1:15" x14ac:dyDescent="0.35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t="str">
        <f t="shared" si="17"/>
        <v>ORD20111245212C76929Desk356.81563 Main StOnlineDeliveredTRK80694400</v>
      </c>
    </row>
    <row r="1115" spans="1:15" x14ac:dyDescent="0.35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 t="str">
        <f t="shared" si="17"/>
        <v>ORD20111345004C52914Desk209.99168 Main StCashDeliveredTRK80819053</v>
      </c>
    </row>
    <row r="1116" spans="1:15" x14ac:dyDescent="0.35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 t="str">
        <f t="shared" si="17"/>
        <v>ORD20111445001C55164Tablet659.88609 Main StGift CardCancelledTRK79610967</v>
      </c>
    </row>
    <row r="1117" spans="1:15" x14ac:dyDescent="0.35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 t="str">
        <f t="shared" si="17"/>
        <v>ORD20111545828C70426Laptop336.32562 Main StOnlineReturnedTRK89687816</v>
      </c>
    </row>
    <row r="1118" spans="1:15" x14ac:dyDescent="0.35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t="str">
        <f t="shared" si="17"/>
        <v>ORD20111645213C69149Printer531.49562 Main StCredit CardDeliveredTRK61265132</v>
      </c>
    </row>
    <row r="1119" spans="1:15" x14ac:dyDescent="0.35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t="str">
        <f t="shared" si="17"/>
        <v>ORD20111745432C78684Chair588.44858 Main StGift CardShippedTRK95779073</v>
      </c>
    </row>
    <row r="1120" spans="1:15" x14ac:dyDescent="0.35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 t="str">
        <f t="shared" si="17"/>
        <v>ORD20111845436C58168Phone251.48359 Main StCredit CardReturnedTRK99102265</v>
      </c>
    </row>
    <row r="1121" spans="1:15" x14ac:dyDescent="0.35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t="str">
        <f t="shared" si="17"/>
        <v>ORD20111945620C99024Laptop684.65250 Main StCredit CardDeliveredTRK24675988</v>
      </c>
    </row>
    <row r="1122" spans="1:15" x14ac:dyDescent="0.35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 t="str">
        <f t="shared" si="17"/>
        <v>ORD20112045787C22919Tablet195.86267 Main StOnlinePendingTRK82416295</v>
      </c>
    </row>
    <row r="1123" spans="1:15" x14ac:dyDescent="0.35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t="str">
        <f t="shared" si="17"/>
        <v>ORD20112145074C98354Phone50.34393 Main StGift CardReturnedTRK43070888</v>
      </c>
    </row>
    <row r="1124" spans="1:15" x14ac:dyDescent="0.35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 t="str">
        <f t="shared" si="17"/>
        <v>ORD20112245084C38840Monitor678.19766 Main StOnlineReturnedTRK32496970</v>
      </c>
    </row>
    <row r="1125" spans="1:15" x14ac:dyDescent="0.35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t="str">
        <f t="shared" si="17"/>
        <v>ORD20112345030C68936Tablet554.25843 Main StDebit CardShippedTRK73163634</v>
      </c>
    </row>
    <row r="1126" spans="1:15" x14ac:dyDescent="0.35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 t="str">
        <f t="shared" si="17"/>
        <v>ORD20112445055C33744Chair576.87888 Main StGift CardReturnedTRK40245983</v>
      </c>
    </row>
    <row r="1127" spans="1:15" x14ac:dyDescent="0.35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t="str">
        <f t="shared" si="17"/>
        <v>ORD20112545215C23555Desk408.36156 Main StGift CardCancelledTRK67210247</v>
      </c>
    </row>
    <row r="1128" spans="1:15" x14ac:dyDescent="0.35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t="str">
        <f t="shared" si="17"/>
        <v>ORD20112645495C34337Phone190.11325 Main StCashDeliveredTRK36195559</v>
      </c>
    </row>
    <row r="1129" spans="1:15" x14ac:dyDescent="0.35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t="str">
        <f t="shared" si="17"/>
        <v>ORD20112745731C69396Printer602.75920 Main StCredit CardShippedTRK33155049</v>
      </c>
    </row>
    <row r="1130" spans="1:15" x14ac:dyDescent="0.35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t="str">
        <f t="shared" si="17"/>
        <v>ORD20112845155C49198Monitor646.79447 Main StCashCancelledTRK10883354</v>
      </c>
    </row>
    <row r="1131" spans="1:15" x14ac:dyDescent="0.35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t="str">
        <f t="shared" si="17"/>
        <v>ORD20112945088C43911Chair418.71239 Main StCashPendingTRK37495481</v>
      </c>
    </row>
    <row r="1132" spans="1:15" x14ac:dyDescent="0.35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t="str">
        <f t="shared" si="17"/>
        <v>ORD20113045704C24347Laptop323.45533 Main StCredit CardReturnedTRK27233265</v>
      </c>
    </row>
    <row r="1133" spans="1:15" x14ac:dyDescent="0.35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t="str">
        <f t="shared" si="17"/>
        <v>ORD20113145491C21043Phone694.5195 Main StCredit CardPendingTRK41691086</v>
      </c>
    </row>
    <row r="1134" spans="1:15" x14ac:dyDescent="0.35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t="str">
        <f t="shared" si="17"/>
        <v>ORD20113245628C58858Chair337.32948 Main StCredit CardCancelledTRK30406357</v>
      </c>
    </row>
    <row r="1135" spans="1:15" x14ac:dyDescent="0.35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t="str">
        <f t="shared" si="17"/>
        <v>ORD20113345391C20670Printer467.91432 Main StGift CardReturnedTRK76731303</v>
      </c>
    </row>
    <row r="1136" spans="1:15" x14ac:dyDescent="0.35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t="str">
        <f t="shared" si="17"/>
        <v>ORD20113445451C90993Desk38.28950 Main StDebit CardCancelledTRK53964711</v>
      </c>
    </row>
    <row r="1137" spans="1:15" x14ac:dyDescent="0.35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t="str">
        <f t="shared" si="17"/>
        <v>ORD20113545288C11473Printer73.41562 Main StOnlineShippedTRK97793275</v>
      </c>
    </row>
    <row r="1138" spans="1:15" x14ac:dyDescent="0.35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t="str">
        <f t="shared" si="17"/>
        <v>ORD20113645193C71899Tablet668.33799 Main StGift CardPendingTRK34856025</v>
      </c>
    </row>
    <row r="1139" spans="1:15" x14ac:dyDescent="0.35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t="str">
        <f t="shared" si="17"/>
        <v>ORD20113745502C48577Printer410.21841 Main StCashPendingTRK59911645</v>
      </c>
    </row>
    <row r="1140" spans="1:15" x14ac:dyDescent="0.35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 t="str">
        <f t="shared" si="17"/>
        <v>ORD20113845278C13100Desk294.41188 Main StDebit CardPendingTRK55565668</v>
      </c>
    </row>
    <row r="1141" spans="1:15" x14ac:dyDescent="0.35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t="str">
        <f t="shared" si="17"/>
        <v>ORD20113945717C70659Chair501.82568 Main StGift CardCancelledTRK28290825</v>
      </c>
    </row>
    <row r="1142" spans="1:15" x14ac:dyDescent="0.35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 t="str">
        <f t="shared" si="17"/>
        <v>ORD20114045467C49838Printer552.83904 Main StCredit CardCancelledTRK38297718</v>
      </c>
    </row>
    <row r="1143" spans="1:15" x14ac:dyDescent="0.35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 t="str">
        <f t="shared" si="17"/>
        <v>ORD20114145704C11998Chair498.66382 Main StCashCancelledTRK26707221</v>
      </c>
    </row>
    <row r="1144" spans="1:15" x14ac:dyDescent="0.35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 t="str">
        <f t="shared" si="17"/>
        <v>ORD20114245527C23405Phone695.1484 Main StDebit CardReturnedTRK83678708</v>
      </c>
    </row>
    <row r="1145" spans="1:15" x14ac:dyDescent="0.35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 t="str">
        <f t="shared" si="17"/>
        <v>ORD20114345019C41132Chair381.61114 Main StDebit CardPendingTRK51040137</v>
      </c>
    </row>
    <row r="1146" spans="1:15" x14ac:dyDescent="0.35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 t="str">
        <f t="shared" si="17"/>
        <v>ORD20114444973C88463Desk507.94292 Main StOnlineCancelledTRK88749996</v>
      </c>
    </row>
    <row r="1147" spans="1:15" x14ac:dyDescent="0.35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t="str">
        <f t="shared" si="17"/>
        <v>ORD20114545789C28152Desk571.53821 Main StDebit CardDeliveredTRK59642814</v>
      </c>
    </row>
    <row r="1148" spans="1:15" x14ac:dyDescent="0.35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t="str">
        <f t="shared" si="17"/>
        <v>ORD20114645568C36383Monitor421.44286 Main StCashPendingTRK93336357</v>
      </c>
    </row>
    <row r="1149" spans="1:15" x14ac:dyDescent="0.35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t="str">
        <f t="shared" si="17"/>
        <v>ORD20114745659C19759Chair588.3234 Main StOnlinePendingTRK22515454</v>
      </c>
    </row>
    <row r="1150" spans="1:15" x14ac:dyDescent="0.35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t="str">
        <f t="shared" si="17"/>
        <v>ORD20114845468C54886Phone355.15442 Main StCashReturnedTRK66241930</v>
      </c>
    </row>
    <row r="1151" spans="1:15" x14ac:dyDescent="0.35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t="str">
        <f t="shared" si="17"/>
        <v>ORD20114945498C27305Chair695.29957 Main StCredit CardPendingTRK28789916</v>
      </c>
    </row>
    <row r="1152" spans="1:15" x14ac:dyDescent="0.35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t="str">
        <f t="shared" si="17"/>
        <v>ORD20115044977C17921Desk302.65119 Main StCredit CardCancelledTRK79291524</v>
      </c>
    </row>
    <row r="1153" spans="1:15" x14ac:dyDescent="0.35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 t="str">
        <f t="shared" si="17"/>
        <v>ORD20115144955C94381Chair608.04962 Main StCashCancelledTRK69804304</v>
      </c>
    </row>
    <row r="1154" spans="1:15" x14ac:dyDescent="0.35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 t="str">
        <f t="shared" si="17"/>
        <v>ORD20115245239C25162Tablet344.18533 Main StCredit CardShippedTRK42183078</v>
      </c>
    </row>
    <row r="1155" spans="1:15" x14ac:dyDescent="0.35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 t="str">
        <f t="shared" ref="O1155:O1201" si="18">A1155&amp;B1155&amp;C1155&amp;D1155&amp;F1155&amp;G1155&amp;H1155&amp;I1155&amp;J1155</f>
        <v>ORD20115345642C98317Monitor696.71276 Main StDebit CardShippedTRK37172138</v>
      </c>
    </row>
    <row r="1156" spans="1:15" x14ac:dyDescent="0.35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t="str">
        <f t="shared" si="18"/>
        <v>ORD20115445819C53631Monitor198.63593 Main StCashPendingTRK67589167</v>
      </c>
    </row>
    <row r="1157" spans="1:15" x14ac:dyDescent="0.35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t="str">
        <f t="shared" si="18"/>
        <v>ORD20115545151C41478Printer534.57667 Main StCredit CardDeliveredTRK62068126</v>
      </c>
    </row>
    <row r="1158" spans="1:15" x14ac:dyDescent="0.35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 t="str">
        <f t="shared" si="18"/>
        <v>ORD20115645126C20512Laptop690.78980 Main StCredit CardShippedTRK98234737</v>
      </c>
    </row>
    <row r="1159" spans="1:15" x14ac:dyDescent="0.35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t="str">
        <f t="shared" si="18"/>
        <v>ORD20115745441C25841Monitor301.55242 Main StDebit CardDeliveredTRK21451375</v>
      </c>
    </row>
    <row r="1160" spans="1:15" x14ac:dyDescent="0.35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t="str">
        <f t="shared" si="18"/>
        <v>ORD20115845036C82781Monitor27.42661 Main StDebit CardPendingTRK20605418</v>
      </c>
    </row>
    <row r="1161" spans="1:15" x14ac:dyDescent="0.35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 t="str">
        <f t="shared" si="18"/>
        <v>ORD20115945345C66112Desk466.7874 Main StDebit CardReturnedTRK60955607</v>
      </c>
    </row>
    <row r="1162" spans="1:15" x14ac:dyDescent="0.35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t="str">
        <f t="shared" si="18"/>
        <v>ORD20116045539C40466Desk541.64449 Main StDebit CardShippedTRK70255168</v>
      </c>
    </row>
    <row r="1163" spans="1:15" x14ac:dyDescent="0.35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t="str">
        <f t="shared" si="18"/>
        <v>ORD20116145215C32570Phone11.39826 Main StCashCancelledTRK35969968</v>
      </c>
    </row>
    <row r="1164" spans="1:15" x14ac:dyDescent="0.35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t="str">
        <f t="shared" si="18"/>
        <v>ORD20116245727C29405Phone224.37251 Main StDebit CardDeliveredTRK33125798</v>
      </c>
    </row>
    <row r="1165" spans="1:15" x14ac:dyDescent="0.35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t="str">
        <f t="shared" si="18"/>
        <v>ORD20116345454C30643Laptop306.29966 Main StCredit CardReturnedTRK19477485</v>
      </c>
    </row>
    <row r="1166" spans="1:15" x14ac:dyDescent="0.35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t="str">
        <f t="shared" si="18"/>
        <v>ORD20116445299C65890Tablet315.57340 Main StDebit CardDeliveredTRK64530489</v>
      </c>
    </row>
    <row r="1167" spans="1:15" x14ac:dyDescent="0.35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 t="str">
        <f t="shared" si="18"/>
        <v>ORD20116545121C36992Chair223.79617 Main StDebit CardPendingTRK63460217</v>
      </c>
    </row>
    <row r="1168" spans="1:15" x14ac:dyDescent="0.35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t="str">
        <f t="shared" si="18"/>
        <v>ORD20116645138C95568Chair324.47971 Main StCashDeliveredTRK37075292</v>
      </c>
    </row>
    <row r="1169" spans="1:15" x14ac:dyDescent="0.35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t="str">
        <f t="shared" si="18"/>
        <v>ORD20116745216C17966Printer92.87360 Main StCredit CardPendingTRK31169396</v>
      </c>
    </row>
    <row r="1170" spans="1:15" x14ac:dyDescent="0.35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t="str">
        <f t="shared" si="18"/>
        <v>ORD20116845024C89559Laptop331.42297 Main StCredit CardDeliveredTRK82838108</v>
      </c>
    </row>
    <row r="1171" spans="1:15" x14ac:dyDescent="0.35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t="str">
        <f t="shared" si="18"/>
        <v>ORD20116945649C15849Chair525.43643 Main StCashCancelledTRK26794546</v>
      </c>
    </row>
    <row r="1172" spans="1:15" x14ac:dyDescent="0.35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t="str">
        <f t="shared" si="18"/>
        <v>ORD20117045141C94257Printer697.19762 Main StCashReturnedTRK40220743</v>
      </c>
    </row>
    <row r="1173" spans="1:15" x14ac:dyDescent="0.35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t="str">
        <f t="shared" si="18"/>
        <v>ORD20117145166C39911Phone518.4699 Main StCredit CardDeliveredTRK80431998</v>
      </c>
    </row>
    <row r="1174" spans="1:15" x14ac:dyDescent="0.35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 t="str">
        <f t="shared" si="18"/>
        <v>ORD20117245692C28828Desk131.96745 Main StCredit CardPendingTRK32550359</v>
      </c>
    </row>
    <row r="1175" spans="1:15" x14ac:dyDescent="0.35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t="str">
        <f t="shared" si="18"/>
        <v>ORD20117345569C82921Monitor208.36703 Main StOnlineShippedTRK31079911</v>
      </c>
    </row>
    <row r="1176" spans="1:15" x14ac:dyDescent="0.35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t="str">
        <f t="shared" si="18"/>
        <v>ORD20117445257C50159Printer222.34105 Main StCredit CardReturnedTRK53737452</v>
      </c>
    </row>
    <row r="1177" spans="1:15" x14ac:dyDescent="0.35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t="str">
        <f t="shared" si="18"/>
        <v>ORD20117545545C62512Printer91.74368 Main StDebit CardReturnedTRK24139954</v>
      </c>
    </row>
    <row r="1178" spans="1:15" x14ac:dyDescent="0.35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t="str">
        <f t="shared" si="18"/>
        <v>ORD20117645151C39260Tablet213.83374 Main StDebit CardCancelledTRK55587314</v>
      </c>
    </row>
    <row r="1179" spans="1:15" x14ac:dyDescent="0.35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t="str">
        <f t="shared" si="18"/>
        <v>ORD20117745043C23917Printer127.55433 Main StCashShippedTRK44434536</v>
      </c>
    </row>
    <row r="1180" spans="1:15" x14ac:dyDescent="0.35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t="str">
        <f t="shared" si="18"/>
        <v>ORD20117845543C65107Monitor70.24456 Main StCredit CardCancelledTRK10261578</v>
      </c>
    </row>
    <row r="1181" spans="1:15" x14ac:dyDescent="0.35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t="str">
        <f t="shared" si="18"/>
        <v>ORD20117944934C84630Laptop518.55907 Main StCredit CardCancelledTRK48054997</v>
      </c>
    </row>
    <row r="1182" spans="1:15" x14ac:dyDescent="0.35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t="str">
        <f t="shared" si="18"/>
        <v>ORD20118045230C42235Chair298.36722 Main StDebit CardPendingTRK49379882</v>
      </c>
    </row>
    <row r="1183" spans="1:15" x14ac:dyDescent="0.35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t="str">
        <f t="shared" si="18"/>
        <v>ORD20118145134C70246Desk158.74293 Main StOnlinePendingTRK45708320</v>
      </c>
    </row>
    <row r="1184" spans="1:15" x14ac:dyDescent="0.35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t="str">
        <f t="shared" si="18"/>
        <v>ORD20118245822C18473Chair420.29700 Main StGift CardReturnedTRK97834202</v>
      </c>
    </row>
    <row r="1185" spans="1:15" x14ac:dyDescent="0.35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t="str">
        <f t="shared" si="18"/>
        <v>ORD20118345021C12607Desk281.52460 Main StGift CardShippedTRK83653396</v>
      </c>
    </row>
    <row r="1186" spans="1:15" x14ac:dyDescent="0.35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 t="str">
        <f t="shared" si="18"/>
        <v>ORD20118445196C10222Laptop204.08979 Main StGift CardReturnedTRK86297895</v>
      </c>
    </row>
    <row r="1187" spans="1:15" x14ac:dyDescent="0.35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t="str">
        <f t="shared" si="18"/>
        <v>ORD20118545481C77344Chair343.31777 Main StGift CardReturnedTRK20605055</v>
      </c>
    </row>
    <row r="1188" spans="1:15" x14ac:dyDescent="0.35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t="str">
        <f t="shared" si="18"/>
        <v>ORD20118645248C65497Monitor163.32676 Main StCashShippedTRK83702761</v>
      </c>
    </row>
    <row r="1189" spans="1:15" x14ac:dyDescent="0.35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t="str">
        <f t="shared" si="18"/>
        <v>ORD20118745364C26340Desk184.6562 Main StGift CardDeliveredTRK59962703</v>
      </c>
    </row>
    <row r="1190" spans="1:15" x14ac:dyDescent="0.35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t="str">
        <f t="shared" si="18"/>
        <v>ORD20118845206C75619Printer371.29924 Main StGift CardShippedTRK23086941</v>
      </c>
    </row>
    <row r="1191" spans="1:15" x14ac:dyDescent="0.35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 t="str">
        <f t="shared" si="18"/>
        <v>ORD20118945521C96136Tablet389.22149 Main StCashCancelledTRK60856682</v>
      </c>
    </row>
    <row r="1192" spans="1:15" x14ac:dyDescent="0.35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t="str">
        <f t="shared" si="18"/>
        <v>ORD20119045816C46886Desk616.39754 Main StCredit CardShippedTRK82791646</v>
      </c>
    </row>
    <row r="1193" spans="1:15" x14ac:dyDescent="0.35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t="str">
        <f t="shared" si="18"/>
        <v>ORD20119145698C44148Desk376.43809 Main StGift CardPendingTRK67872709</v>
      </c>
    </row>
    <row r="1194" spans="1:15" x14ac:dyDescent="0.35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 t="str">
        <f t="shared" si="18"/>
        <v>ORD20119245350C72007Chair432.85999 Main StOnlinePendingTRK16240916</v>
      </c>
    </row>
    <row r="1195" spans="1:15" x14ac:dyDescent="0.35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t="str">
        <f t="shared" si="18"/>
        <v>ORD20119345824C45104Tablet687.89348 Main StCashReturnedTRK38559816</v>
      </c>
    </row>
    <row r="1196" spans="1:15" x14ac:dyDescent="0.35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t="str">
        <f t="shared" si="18"/>
        <v>ORD20119445249C29885Printer189.44725 Main StCashPendingTRK62067865</v>
      </c>
    </row>
    <row r="1197" spans="1:15" x14ac:dyDescent="0.35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t="str">
        <f t="shared" si="18"/>
        <v>ORD20119545463C21126Desk107.04392 Main StCredit CardCancelledTRK38009181</v>
      </c>
    </row>
    <row r="1198" spans="1:15" x14ac:dyDescent="0.35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 t="str">
        <f t="shared" si="18"/>
        <v>ORD20119645355C20095Monitor662.53778 Main StOnlineCancelledTRK69207593</v>
      </c>
    </row>
    <row r="1199" spans="1:15" x14ac:dyDescent="0.35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t="str">
        <f t="shared" si="18"/>
        <v>ORD20119745120C79674Tablet436.84275 Main StOnlineDeliveredTRK88039356</v>
      </c>
    </row>
    <row r="1200" spans="1:15" x14ac:dyDescent="0.35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t="str">
        <f t="shared" si="18"/>
        <v>ORD20119845526C64753Chair262.52509 Main StDebit CardCancelledTRK71683331</v>
      </c>
    </row>
    <row r="1201" spans="1:15" x14ac:dyDescent="0.35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t="str">
        <f t="shared" si="18"/>
        <v>ORD20119945088C57502Tablet560.58201 Main StGift CardReturnedTRK51116746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2026-06-05T05:41:13Z</dcterms:modified>
</cp:coreProperties>
</file>